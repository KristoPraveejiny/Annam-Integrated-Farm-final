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vest Records" sheetId="1" state="visible" r:id="rId3"/>
    <sheet name="Summary by Cro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<sst xmlns="http://schemas.openxmlformats.org/spreadsheetml/2006/main" count="163" uniqueCount="50">
  <si>
    <t xml:space="preserve">No</t>
  </si>
  <si>
    <t xml:space="preserve">Crop</t>
  </si>
  <si>
    <t xml:space="preserve">Variety</t>
  </si>
  <si>
    <t xml:space="preserve">Planting Date</t>
  </si>
  <si>
    <t xml:space="preserve">Est. Harvest Date</t>
  </si>
  <si>
    <t xml:space="preserve">Actual Harvest Date</t>
  </si>
  <si>
    <t xml:space="preserve">Quantity Harvested</t>
  </si>
  <si>
    <t xml:space="preserve">Unit</t>
  </si>
  <si>
    <t xml:space="preserve">Price per Unit (LKR)</t>
  </si>
  <si>
    <t xml:space="preserve">Total Revenue (LKR)</t>
  </si>
  <si>
    <t xml:space="preserve">Seed/Planting (LKR)</t>
  </si>
  <si>
    <t xml:space="preserve">Fertilizer (LKR)</t>
  </si>
  <si>
    <t xml:space="preserve">Pesticide/Herbicide (LKR)</t>
  </si>
  <si>
    <t xml:space="preserve">Machinery/Harvesting Charge (LKR)</t>
  </si>
  <si>
    <t xml:space="preserve">Total Expenses (LKR)</t>
  </si>
  <si>
    <t xml:space="preserve">Net Profit (LKR)</t>
  </si>
  <si>
    <t xml:space="preserve">Paddy</t>
  </si>
  <si>
    <t xml:space="preserve">BG 250</t>
  </si>
  <si>
    <t xml:space="preserve">kg</t>
  </si>
  <si>
    <t xml:space="preserve">BG 300 (Improved)</t>
  </si>
  <si>
    <t xml:space="preserve">BW 372</t>
  </si>
  <si>
    <t xml:space="preserve">Tomato</t>
  </si>
  <si>
    <t xml:space="preserve">Thilina F1</t>
  </si>
  <si>
    <t xml:space="preserve">Brinjal</t>
  </si>
  <si>
    <t xml:space="preserve">Local Long Purple</t>
  </si>
  <si>
    <t xml:space="preserve">Beans</t>
  </si>
  <si>
    <t xml:space="preserve">Bush Bean (Local)</t>
  </si>
  <si>
    <t xml:space="preserve">Ladies Finger</t>
  </si>
  <si>
    <t xml:space="preserve">Haritha</t>
  </si>
  <si>
    <t xml:space="preserve">Corn</t>
  </si>
  <si>
    <t xml:space="preserve">Pacific 11 (Hybrid)</t>
  </si>
  <si>
    <t xml:space="preserve">Green Chilli</t>
  </si>
  <si>
    <t xml:space="preserve">MI-2</t>
  </si>
  <si>
    <t xml:space="preserve">Turmeric</t>
  </si>
  <si>
    <t xml:space="preserve">Local (Ranga)</t>
  </si>
  <si>
    <t xml:space="preserve">Papaya</t>
  </si>
  <si>
    <t xml:space="preserve">Red Lady</t>
  </si>
  <si>
    <t xml:space="preserve">Mango</t>
  </si>
  <si>
    <t xml:space="preserve">Tommy Atkins / Willard (Karutha Colomban)</t>
  </si>
  <si>
    <t xml:space="preserve">Coconut</t>
  </si>
  <si>
    <t xml:space="preserve">Tall x Tall (CRIC 60)</t>
  </si>
  <si>
    <t xml:space="preserve">nuts</t>
  </si>
  <si>
    <t xml:space="preserve">Lemon</t>
  </si>
  <si>
    <t xml:space="preserve">Local Thick-skinned (Dehi)</t>
  </si>
  <si>
    <t xml:space="preserve">TOTAL</t>
  </si>
  <si>
    <t xml:space="preserve">Note: Quantity, Price, and all expense figures (seed/planting material, fertilizer, pesticide/herbicide, machinery/harvesting charge - tractor, thresher, sprayer rental, transport etc.) are estimated, scaled to a small home/demo farm plot, using approximate 2024-2026 Sri Lankan farmgate prices and typical smallholder input costs (LKR). Coconut is priced per nut, not per kg. Net Profit = Total Revenue - Total Expenses. Replace any column with your own figures - all totals recalculate automatically.</t>
  </si>
  <si>
    <t xml:space="preserve">No. of Batches</t>
  </si>
  <si>
    <t xml:space="preserve">Total Quantity</t>
  </si>
  <si>
    <t xml:space="preserve">Avg. Price/Unit (LKR)</t>
  </si>
  <si>
    <t xml:space="preserve">Profit Margin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</si>
</sst>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0.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5C3B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C3B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6" min="15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3" t="s">
        <v>16</v>
      </c>
      <c r="C2" s="3" t="s">
        <v>17</v>
      </c>
      <c r="D2" s="4" t="n">
        <v>45570</v>
      </c>
      <c r="E2" s="4" t="n">
        <v>45690</v>
      </c>
      <c r="F2" s="4" t="n">
        <v>45691</v>
      </c>
      <c r="G2" s="2" t="n">
        <v>202</v>
      </c>
      <c r="H2" s="2" t="s">
        <v>18</v>
      </c>
      <c r="I2" s="5" t="n">
        <v>127.91</v>
      </c>
      <c r="J2" s="5" t="n">
        <f aca="false">G2*I2</f>
        <v>25837.82</v>
      </c>
      <c r="K2" s="5" t="n">
        <v>3789.65</v>
      </c>
      <c r="L2" s="5" t="n">
        <v>8338</v>
      </c>
      <c r="M2" s="5" t="n">
        <v>3642.55</v>
      </c>
      <c r="N2" s="5" t="n">
        <v>9658.91</v>
      </c>
      <c r="O2" s="5" t="n">
        <f aca="false">SUM(K2:N2)</f>
        <v>25429.11</v>
      </c>
      <c r="P2" s="6" t="n">
        <f aca="false">J2-O2</f>
        <v>408.709999999999</v>
      </c>
    </row>
    <row r="3" customFormat="false" ht="15" hidden="false" customHeight="false" outlineLevel="0" collapsed="false">
      <c r="A3" s="2" t="n">
        <v>2</v>
      </c>
      <c r="B3" s="3" t="s">
        <v>16</v>
      </c>
      <c r="C3" s="3" t="s">
        <v>19</v>
      </c>
      <c r="D3" s="4" t="n">
        <v>45785</v>
      </c>
      <c r="E3" s="4" t="n">
        <v>45905</v>
      </c>
      <c r="F3" s="4" t="n">
        <v>45906</v>
      </c>
      <c r="G3" s="2" t="n">
        <v>134</v>
      </c>
      <c r="H3" s="2" t="s">
        <v>18</v>
      </c>
      <c r="I3" s="5" t="n">
        <v>126.39</v>
      </c>
      <c r="J3" s="5" t="n">
        <f aca="false">G3*I3</f>
        <v>16936.26</v>
      </c>
      <c r="K3" s="5" t="n">
        <v>3429.4</v>
      </c>
      <c r="L3" s="5" t="n">
        <v>8601.63</v>
      </c>
      <c r="M3" s="5" t="n">
        <v>2836.34</v>
      </c>
      <c r="N3" s="5" t="n">
        <v>10684.64</v>
      </c>
      <c r="O3" s="5" t="n">
        <f aca="false">SUM(K3:N3)</f>
        <v>25552.01</v>
      </c>
      <c r="P3" s="6" t="n">
        <f aca="false">J3-O3</f>
        <v>-8615.75</v>
      </c>
    </row>
    <row r="4" customFormat="false" ht="15" hidden="false" customHeight="false" outlineLevel="0" collapsed="false">
      <c r="A4" s="2" t="n">
        <v>3</v>
      </c>
      <c r="B4" s="3" t="s">
        <v>16</v>
      </c>
      <c r="C4" s="3" t="s">
        <v>17</v>
      </c>
      <c r="D4" s="4" t="n">
        <v>45942</v>
      </c>
      <c r="E4" s="4" t="n">
        <v>46062</v>
      </c>
      <c r="F4" s="4" t="n">
        <v>46063</v>
      </c>
      <c r="G4" s="2" t="n">
        <v>228</v>
      </c>
      <c r="H4" s="2" t="s">
        <v>18</v>
      </c>
      <c r="I4" s="5" t="n">
        <v>92.36</v>
      </c>
      <c r="J4" s="5" t="n">
        <f aca="false">G4*I4</f>
        <v>21058.08</v>
      </c>
      <c r="K4" s="5" t="n">
        <v>4130.91</v>
      </c>
      <c r="L4" s="5" t="n">
        <v>14632.15</v>
      </c>
      <c r="M4" s="5" t="n">
        <v>3261.25</v>
      </c>
      <c r="N4" s="5" t="n">
        <v>13080.98</v>
      </c>
      <c r="O4" s="5" t="n">
        <f aca="false">SUM(K4:N4)</f>
        <v>35105.29</v>
      </c>
      <c r="P4" s="6" t="n">
        <f aca="false">J4-O4</f>
        <v>-14047.21</v>
      </c>
    </row>
    <row r="5" customFormat="false" ht="15" hidden="false" customHeight="false" outlineLevel="0" collapsed="false">
      <c r="A5" s="2" t="n">
        <v>4</v>
      </c>
      <c r="B5" s="3" t="s">
        <v>16</v>
      </c>
      <c r="C5" s="3" t="s">
        <v>20</v>
      </c>
      <c r="D5" s="4" t="n">
        <v>45426</v>
      </c>
      <c r="E5" s="4" t="n">
        <v>45546</v>
      </c>
      <c r="F5" s="4" t="n">
        <v>45549</v>
      </c>
      <c r="G5" s="2" t="n">
        <v>135</v>
      </c>
      <c r="H5" s="2" t="s">
        <v>18</v>
      </c>
      <c r="I5" s="5" t="n">
        <v>113.08</v>
      </c>
      <c r="J5" s="5" t="n">
        <f aca="false">G5*I5</f>
        <v>15265.8</v>
      </c>
      <c r="K5" s="5" t="n">
        <v>3793.36</v>
      </c>
      <c r="L5" s="5" t="n">
        <v>14833.79</v>
      </c>
      <c r="M5" s="5" t="n">
        <v>2093.17</v>
      </c>
      <c r="N5" s="5" t="n">
        <v>15009.28</v>
      </c>
      <c r="O5" s="5" t="n">
        <f aca="false">SUM(K5:N5)</f>
        <v>35729.6</v>
      </c>
      <c r="P5" s="6" t="n">
        <f aca="false">J5-O5</f>
        <v>-20463.8</v>
      </c>
    </row>
    <row r="6" customFormat="false" ht="15" hidden="false" customHeight="false" outlineLevel="0" collapsed="false">
      <c r="A6" s="2" t="n">
        <v>5</v>
      </c>
      <c r="B6" s="3" t="s">
        <v>16</v>
      </c>
      <c r="C6" s="3" t="s">
        <v>17</v>
      </c>
      <c r="D6" s="4" t="n">
        <v>45573</v>
      </c>
      <c r="E6" s="4" t="n">
        <v>45693</v>
      </c>
      <c r="F6" s="4" t="n">
        <v>45688</v>
      </c>
      <c r="G6" s="2" t="n">
        <v>194</v>
      </c>
      <c r="H6" s="2" t="s">
        <v>18</v>
      </c>
      <c r="I6" s="5" t="n">
        <v>106.77</v>
      </c>
      <c r="J6" s="5" t="n">
        <f aca="false">G6*I6</f>
        <v>20713.38</v>
      </c>
      <c r="K6" s="5" t="n">
        <v>4081.37</v>
      </c>
      <c r="L6" s="5" t="n">
        <v>11996.4</v>
      </c>
      <c r="M6" s="5" t="n">
        <v>3120.51</v>
      </c>
      <c r="N6" s="5" t="n">
        <v>13774.02</v>
      </c>
      <c r="O6" s="5" t="n">
        <f aca="false">SUM(K6:N6)</f>
        <v>32972.3</v>
      </c>
      <c r="P6" s="6" t="n">
        <f aca="false">J6-O6</f>
        <v>-12258.92</v>
      </c>
    </row>
    <row r="7" customFormat="false" ht="15" hidden="false" customHeight="false" outlineLevel="0" collapsed="false">
      <c r="A7" s="2" t="n">
        <v>6</v>
      </c>
      <c r="B7" s="3" t="s">
        <v>16</v>
      </c>
      <c r="C7" s="3" t="s">
        <v>20</v>
      </c>
      <c r="D7" s="4" t="n">
        <v>45789</v>
      </c>
      <c r="E7" s="4" t="n">
        <v>45909</v>
      </c>
      <c r="F7" s="4" t="n">
        <v>45914</v>
      </c>
      <c r="G7" s="2" t="n">
        <v>146</v>
      </c>
      <c r="H7" s="2" t="s">
        <v>18</v>
      </c>
      <c r="I7" s="5" t="n">
        <v>113.26</v>
      </c>
      <c r="J7" s="5" t="n">
        <f aca="false">G7*I7</f>
        <v>16535.96</v>
      </c>
      <c r="K7" s="5" t="n">
        <v>4277.83</v>
      </c>
      <c r="L7" s="5" t="n">
        <v>10606.78</v>
      </c>
      <c r="M7" s="5" t="n">
        <v>3095.49</v>
      </c>
      <c r="N7" s="5" t="n">
        <v>9439.52</v>
      </c>
      <c r="O7" s="5" t="n">
        <f aca="false">SUM(K7:N7)</f>
        <v>27419.62</v>
      </c>
      <c r="P7" s="6" t="n">
        <f aca="false">J7-O7</f>
        <v>-10883.66</v>
      </c>
    </row>
    <row r="8" customFormat="false" ht="15" hidden="false" customHeight="false" outlineLevel="0" collapsed="false">
      <c r="A8" s="2" t="n">
        <v>7</v>
      </c>
      <c r="B8" s="3" t="s">
        <v>16</v>
      </c>
      <c r="C8" s="3" t="s">
        <v>17</v>
      </c>
      <c r="D8" s="4" t="n">
        <v>45945</v>
      </c>
      <c r="E8" s="4" t="n">
        <v>46065</v>
      </c>
      <c r="F8" s="4" t="n">
        <v>46065</v>
      </c>
      <c r="G8" s="2" t="n">
        <v>135</v>
      </c>
      <c r="H8" s="2" t="s">
        <v>18</v>
      </c>
      <c r="I8" s="5" t="n">
        <v>114.76</v>
      </c>
      <c r="J8" s="5" t="n">
        <f aca="false">G8*I8</f>
        <v>15492.6</v>
      </c>
      <c r="K8" s="5" t="n">
        <v>3992.83</v>
      </c>
      <c r="L8" s="5" t="n">
        <v>11722.04</v>
      </c>
      <c r="M8" s="5" t="n">
        <v>3554.46</v>
      </c>
      <c r="N8" s="5" t="n">
        <v>12259.21</v>
      </c>
      <c r="O8" s="5" t="n">
        <f aca="false">SUM(K8:N8)</f>
        <v>31528.54</v>
      </c>
      <c r="P8" s="6" t="n">
        <f aca="false">J8-O8</f>
        <v>-16035.94</v>
      </c>
    </row>
    <row r="9" customFormat="false" ht="15" hidden="false" customHeight="false" outlineLevel="0" collapsed="false">
      <c r="A9" s="2" t="n">
        <v>8</v>
      </c>
      <c r="B9" s="3" t="s">
        <v>21</v>
      </c>
      <c r="C9" s="3" t="s">
        <v>22</v>
      </c>
      <c r="D9" s="4" t="n">
        <v>45306</v>
      </c>
      <c r="E9" s="4" t="n">
        <v>45396</v>
      </c>
      <c r="F9" s="4" t="n">
        <v>45399</v>
      </c>
      <c r="G9" s="2" t="n">
        <v>138</v>
      </c>
      <c r="H9" s="2" t="s">
        <v>18</v>
      </c>
      <c r="I9" s="5" t="n">
        <v>96.16</v>
      </c>
      <c r="J9" s="5" t="n">
        <f aca="false">G9*I9</f>
        <v>13270.08</v>
      </c>
      <c r="K9" s="5" t="n">
        <v>2496.85</v>
      </c>
      <c r="L9" s="5" t="n">
        <v>5719.07</v>
      </c>
      <c r="M9" s="5" t="n">
        <v>5339.49</v>
      </c>
      <c r="N9" s="5" t="n">
        <v>2163.71</v>
      </c>
      <c r="O9" s="5" t="n">
        <f aca="false">SUM(K9:N9)</f>
        <v>15719.12</v>
      </c>
      <c r="P9" s="6" t="n">
        <f aca="false">J9-O9</f>
        <v>-2449.04</v>
      </c>
    </row>
    <row r="10" customFormat="false" ht="15" hidden="false" customHeight="false" outlineLevel="0" collapsed="false">
      <c r="A10" s="2" t="n">
        <v>9</v>
      </c>
      <c r="B10" s="3" t="s">
        <v>23</v>
      </c>
      <c r="C10" s="3" t="s">
        <v>24</v>
      </c>
      <c r="D10" s="4" t="n">
        <v>45417</v>
      </c>
      <c r="E10" s="4" t="n">
        <v>45517</v>
      </c>
      <c r="F10" s="4" t="n">
        <v>45520</v>
      </c>
      <c r="G10" s="2" t="n">
        <v>98</v>
      </c>
      <c r="H10" s="2" t="s">
        <v>18</v>
      </c>
      <c r="I10" s="5" t="n">
        <v>116.76</v>
      </c>
      <c r="J10" s="5" t="n">
        <f aca="false">G10*I10</f>
        <v>11442.48</v>
      </c>
      <c r="K10" s="5" t="n">
        <v>2812.71</v>
      </c>
      <c r="L10" s="5" t="n">
        <v>6917.78</v>
      </c>
      <c r="M10" s="5" t="n">
        <v>3219.84</v>
      </c>
      <c r="N10" s="5" t="n">
        <v>2970.26</v>
      </c>
      <c r="O10" s="5" t="n">
        <f aca="false">SUM(K10:N10)</f>
        <v>15920.59</v>
      </c>
      <c r="P10" s="6" t="n">
        <f aca="false">J10-O10</f>
        <v>-4478.11</v>
      </c>
    </row>
    <row r="11" customFormat="false" ht="15" hidden="false" customHeight="false" outlineLevel="0" collapsed="false">
      <c r="A11" s="2" t="n">
        <v>10</v>
      </c>
      <c r="B11" s="3" t="s">
        <v>21</v>
      </c>
      <c r="C11" s="3" t="s">
        <v>22</v>
      </c>
      <c r="D11" s="4" t="n">
        <v>45566</v>
      </c>
      <c r="E11" s="4" t="n">
        <v>45656</v>
      </c>
      <c r="F11" s="4" t="n">
        <v>45651</v>
      </c>
      <c r="G11" s="2" t="n">
        <v>95</v>
      </c>
      <c r="H11" s="2" t="s">
        <v>18</v>
      </c>
      <c r="I11" s="5" t="n">
        <v>111.19</v>
      </c>
      <c r="J11" s="5" t="n">
        <f aca="false">G11*I11</f>
        <v>10563.05</v>
      </c>
      <c r="K11" s="5" t="n">
        <v>2329.92</v>
      </c>
      <c r="L11" s="5" t="n">
        <v>6368.22</v>
      </c>
      <c r="M11" s="5" t="n">
        <v>5799.81</v>
      </c>
      <c r="N11" s="5" t="n">
        <v>2843.4</v>
      </c>
      <c r="O11" s="5" t="n">
        <f aca="false">SUM(K11:N11)</f>
        <v>17341.35</v>
      </c>
      <c r="P11" s="6" t="n">
        <f aca="false">J11-O11</f>
        <v>-6778.3</v>
      </c>
    </row>
    <row r="12" customFormat="false" ht="15" hidden="false" customHeight="false" outlineLevel="0" collapsed="false">
      <c r="A12" s="2" t="n">
        <v>11</v>
      </c>
      <c r="B12" s="3" t="s">
        <v>23</v>
      </c>
      <c r="C12" s="3" t="s">
        <v>24</v>
      </c>
      <c r="D12" s="4" t="n">
        <v>45698</v>
      </c>
      <c r="E12" s="4" t="n">
        <v>45798</v>
      </c>
      <c r="F12" s="4" t="n">
        <v>45794</v>
      </c>
      <c r="G12" s="2" t="n">
        <v>69</v>
      </c>
      <c r="H12" s="2" t="s">
        <v>18</v>
      </c>
      <c r="I12" s="5" t="n">
        <v>133.52</v>
      </c>
      <c r="J12" s="5" t="n">
        <f aca="false">G12*I12</f>
        <v>9212.88</v>
      </c>
      <c r="K12" s="5" t="n">
        <v>2359.54</v>
      </c>
      <c r="L12" s="5" t="n">
        <v>7501.91</v>
      </c>
      <c r="M12" s="5" t="n">
        <v>3284.37</v>
      </c>
      <c r="N12" s="5" t="n">
        <v>2542.94</v>
      </c>
      <c r="O12" s="5" t="n">
        <f aca="false">SUM(K12:N12)</f>
        <v>15688.76</v>
      </c>
      <c r="P12" s="6" t="n">
        <f aca="false">J12-O12</f>
        <v>-6475.88</v>
      </c>
    </row>
    <row r="13" customFormat="false" ht="15" hidden="false" customHeight="false" outlineLevel="0" collapsed="false">
      <c r="A13" s="2" t="n">
        <v>12</v>
      </c>
      <c r="B13" s="3" t="s">
        <v>21</v>
      </c>
      <c r="C13" s="3" t="s">
        <v>22</v>
      </c>
      <c r="D13" s="4" t="n">
        <v>45843</v>
      </c>
      <c r="E13" s="4" t="n">
        <v>45933</v>
      </c>
      <c r="F13" s="4" t="n">
        <v>45927</v>
      </c>
      <c r="G13" s="2" t="n">
        <v>156</v>
      </c>
      <c r="H13" s="2" t="s">
        <v>18</v>
      </c>
      <c r="I13" s="5" t="n">
        <v>109.67</v>
      </c>
      <c r="J13" s="5" t="n">
        <f aca="false">G13*I13</f>
        <v>17108.52</v>
      </c>
      <c r="K13" s="5" t="n">
        <v>3593.78</v>
      </c>
      <c r="L13" s="5" t="n">
        <v>5275.05</v>
      </c>
      <c r="M13" s="5" t="n">
        <v>3280.79</v>
      </c>
      <c r="N13" s="5" t="n">
        <v>2539.88</v>
      </c>
      <c r="O13" s="5" t="n">
        <f aca="false">SUM(K13:N13)</f>
        <v>14689.5</v>
      </c>
      <c r="P13" s="6" t="n">
        <f aca="false">J13-O13</f>
        <v>2419.02</v>
      </c>
    </row>
    <row r="14" customFormat="false" ht="15" hidden="false" customHeight="false" outlineLevel="0" collapsed="false">
      <c r="A14" s="2" t="n">
        <v>13</v>
      </c>
      <c r="B14" s="3" t="s">
        <v>23</v>
      </c>
      <c r="C14" s="3" t="s">
        <v>24</v>
      </c>
      <c r="D14" s="4" t="n">
        <v>45962</v>
      </c>
      <c r="E14" s="4" t="n">
        <v>46062</v>
      </c>
      <c r="F14" s="4" t="n">
        <v>46060</v>
      </c>
      <c r="G14" s="2" t="n">
        <v>68</v>
      </c>
      <c r="H14" s="2" t="s">
        <v>18</v>
      </c>
      <c r="I14" s="5" t="n">
        <v>84.25</v>
      </c>
      <c r="J14" s="5" t="n">
        <f aca="false">G14*I14</f>
        <v>5729</v>
      </c>
      <c r="K14" s="5" t="n">
        <v>2552.24</v>
      </c>
      <c r="L14" s="5" t="n">
        <v>6588.52</v>
      </c>
      <c r="M14" s="5" t="n">
        <v>4982.74</v>
      </c>
      <c r="N14" s="5" t="n">
        <v>2732.89</v>
      </c>
      <c r="O14" s="5" t="n">
        <f aca="false">SUM(K14:N14)</f>
        <v>16856.39</v>
      </c>
      <c r="P14" s="6" t="n">
        <f aca="false">J14-O14</f>
        <v>-11127.39</v>
      </c>
    </row>
    <row r="15" customFormat="false" ht="15" hidden="false" customHeight="false" outlineLevel="0" collapsed="false">
      <c r="A15" s="2" t="n">
        <v>14</v>
      </c>
      <c r="B15" s="3" t="s">
        <v>25</v>
      </c>
      <c r="C15" s="3" t="s">
        <v>26</v>
      </c>
      <c r="D15" s="4" t="n">
        <v>45311</v>
      </c>
      <c r="E15" s="4" t="n">
        <v>45371</v>
      </c>
      <c r="F15" s="4" t="n">
        <v>45375</v>
      </c>
      <c r="G15" s="2" t="n">
        <v>58</v>
      </c>
      <c r="H15" s="2" t="s">
        <v>18</v>
      </c>
      <c r="I15" s="5" t="n">
        <v>231.66</v>
      </c>
      <c r="J15" s="5" t="n">
        <f aca="false">G15*I15</f>
        <v>13436.28</v>
      </c>
      <c r="K15" s="5" t="n">
        <v>2387.04</v>
      </c>
      <c r="L15" s="5" t="n">
        <v>3367.51</v>
      </c>
      <c r="M15" s="5" t="n">
        <v>2910.97</v>
      </c>
      <c r="N15" s="5" t="n">
        <v>1355.46</v>
      </c>
      <c r="O15" s="5" t="n">
        <f aca="false">SUM(K15:N15)</f>
        <v>10020.98</v>
      </c>
      <c r="P15" s="6" t="n">
        <f aca="false">J15-O15</f>
        <v>3415.3</v>
      </c>
    </row>
    <row r="16" customFormat="false" ht="15" hidden="false" customHeight="false" outlineLevel="0" collapsed="false">
      <c r="A16" s="2" t="n">
        <v>15</v>
      </c>
      <c r="B16" s="3" t="s">
        <v>27</v>
      </c>
      <c r="C16" s="3" t="s">
        <v>28</v>
      </c>
      <c r="D16" s="4" t="n">
        <v>45392</v>
      </c>
      <c r="E16" s="4" t="n">
        <v>45452</v>
      </c>
      <c r="F16" s="4" t="n">
        <v>45450</v>
      </c>
      <c r="G16" s="2" t="n">
        <v>84</v>
      </c>
      <c r="H16" s="2" t="s">
        <v>18</v>
      </c>
      <c r="I16" s="5" t="n">
        <v>119.37</v>
      </c>
      <c r="J16" s="5" t="n">
        <f aca="false">G16*I16</f>
        <v>10027.08</v>
      </c>
      <c r="K16" s="5" t="n">
        <v>1058.95</v>
      </c>
      <c r="L16" s="5" t="n">
        <v>4420.58</v>
      </c>
      <c r="M16" s="5" t="n">
        <v>1694.01</v>
      </c>
      <c r="N16" s="5" t="n">
        <v>1247.61</v>
      </c>
      <c r="O16" s="5" t="n">
        <f aca="false">SUM(K16:N16)</f>
        <v>8421.15</v>
      </c>
      <c r="P16" s="6" t="n">
        <f aca="false">J16-O16</f>
        <v>1605.93</v>
      </c>
    </row>
    <row r="17" customFormat="false" ht="15" hidden="false" customHeight="false" outlineLevel="0" collapsed="false">
      <c r="A17" s="2" t="n">
        <v>16</v>
      </c>
      <c r="B17" s="3" t="s">
        <v>25</v>
      </c>
      <c r="C17" s="3" t="s">
        <v>26</v>
      </c>
      <c r="D17" s="4" t="n">
        <v>45509</v>
      </c>
      <c r="E17" s="4" t="n">
        <v>45569</v>
      </c>
      <c r="F17" s="4" t="n">
        <v>45576</v>
      </c>
      <c r="G17" s="2" t="n">
        <v>65</v>
      </c>
      <c r="H17" s="2" t="s">
        <v>18</v>
      </c>
      <c r="I17" s="5" t="n">
        <v>251.68</v>
      </c>
      <c r="J17" s="5" t="n">
        <f aca="false">G17*I17</f>
        <v>16359.2</v>
      </c>
      <c r="K17" s="5" t="n">
        <v>1996.51</v>
      </c>
      <c r="L17" s="5" t="n">
        <v>2915.92</v>
      </c>
      <c r="M17" s="5" t="n">
        <v>2102.47</v>
      </c>
      <c r="N17" s="5" t="n">
        <v>1277.84</v>
      </c>
      <c r="O17" s="5" t="n">
        <f aca="false">SUM(K17:N17)</f>
        <v>8292.74</v>
      </c>
      <c r="P17" s="6" t="n">
        <f aca="false">J17-O17</f>
        <v>8066.46</v>
      </c>
    </row>
    <row r="18" customFormat="false" ht="15" hidden="false" customHeight="false" outlineLevel="0" collapsed="false">
      <c r="A18" s="2" t="n">
        <v>17</v>
      </c>
      <c r="B18" s="3" t="s">
        <v>27</v>
      </c>
      <c r="C18" s="3" t="s">
        <v>28</v>
      </c>
      <c r="D18" s="4" t="n">
        <v>45601</v>
      </c>
      <c r="E18" s="4" t="n">
        <v>45661</v>
      </c>
      <c r="F18" s="4" t="n">
        <v>45661</v>
      </c>
      <c r="G18" s="2" t="n">
        <v>53</v>
      </c>
      <c r="H18" s="2" t="s">
        <v>18</v>
      </c>
      <c r="I18" s="5" t="n">
        <v>175.54</v>
      </c>
      <c r="J18" s="5" t="n">
        <f aca="false">G18*I18</f>
        <v>9303.62</v>
      </c>
      <c r="K18" s="5" t="n">
        <v>1863.98</v>
      </c>
      <c r="L18" s="5" t="n">
        <v>3196.05</v>
      </c>
      <c r="M18" s="5" t="n">
        <v>2122.94</v>
      </c>
      <c r="N18" s="5" t="n">
        <v>1358.77</v>
      </c>
      <c r="O18" s="5" t="n">
        <f aca="false">SUM(K18:N18)</f>
        <v>8541.74</v>
      </c>
      <c r="P18" s="6" t="n">
        <f aca="false">J18-O18</f>
        <v>761.879999999999</v>
      </c>
    </row>
    <row r="19" customFormat="false" ht="15" hidden="false" customHeight="false" outlineLevel="0" collapsed="false">
      <c r="A19" s="2" t="n">
        <v>18</v>
      </c>
      <c r="B19" s="3" t="s">
        <v>25</v>
      </c>
      <c r="C19" s="3" t="s">
        <v>26</v>
      </c>
      <c r="D19" s="4" t="n">
        <v>45721</v>
      </c>
      <c r="E19" s="4" t="n">
        <v>45781</v>
      </c>
      <c r="F19" s="4" t="n">
        <v>45780</v>
      </c>
      <c r="G19" s="2" t="n">
        <v>64</v>
      </c>
      <c r="H19" s="2" t="s">
        <v>18</v>
      </c>
      <c r="I19" s="5" t="n">
        <v>255.77</v>
      </c>
      <c r="J19" s="5" t="n">
        <f aca="false">G19*I19</f>
        <v>16369.28</v>
      </c>
      <c r="K19" s="5" t="n">
        <v>1650.92</v>
      </c>
      <c r="L19" s="5" t="n">
        <v>2940.54</v>
      </c>
      <c r="M19" s="5" t="n">
        <v>1847.94</v>
      </c>
      <c r="N19" s="5" t="n">
        <v>1233.34</v>
      </c>
      <c r="O19" s="5" t="n">
        <f aca="false">SUM(K19:N19)</f>
        <v>7672.74</v>
      </c>
      <c r="P19" s="6" t="n">
        <f aca="false">J19-O19</f>
        <v>8696.54</v>
      </c>
    </row>
    <row r="20" customFormat="false" ht="15" hidden="false" customHeight="false" outlineLevel="0" collapsed="false">
      <c r="A20" s="2" t="n">
        <v>19</v>
      </c>
      <c r="B20" s="3" t="s">
        <v>16</v>
      </c>
      <c r="C20" s="3" t="s">
        <v>19</v>
      </c>
      <c r="D20" s="4" t="n">
        <v>45422</v>
      </c>
      <c r="E20" s="4" t="n">
        <v>45542</v>
      </c>
      <c r="F20" s="4" t="n">
        <v>45549</v>
      </c>
      <c r="G20" s="2" t="n">
        <v>244</v>
      </c>
      <c r="H20" s="2" t="s">
        <v>18</v>
      </c>
      <c r="I20" s="5" t="n">
        <v>123.24</v>
      </c>
      <c r="J20" s="5" t="n">
        <f aca="false">G20*I20</f>
        <v>30070.56</v>
      </c>
      <c r="K20" s="5" t="n">
        <v>3364.69</v>
      </c>
      <c r="L20" s="5" t="n">
        <v>9973.52</v>
      </c>
      <c r="M20" s="5" t="n">
        <v>2291.35</v>
      </c>
      <c r="N20" s="5" t="n">
        <v>12742.14</v>
      </c>
      <c r="O20" s="5" t="n">
        <f aca="false">SUM(K20:N20)</f>
        <v>28371.7</v>
      </c>
      <c r="P20" s="6" t="n">
        <f aca="false">J20-O20</f>
        <v>1698.86</v>
      </c>
    </row>
    <row r="21" customFormat="false" ht="15" hidden="false" customHeight="false" outlineLevel="0" collapsed="false">
      <c r="A21" s="2" t="n">
        <v>20</v>
      </c>
      <c r="B21" s="3" t="s">
        <v>25</v>
      </c>
      <c r="C21" s="3" t="s">
        <v>26</v>
      </c>
      <c r="D21" s="4" t="n">
        <v>45950</v>
      </c>
      <c r="E21" s="4" t="n">
        <v>46010</v>
      </c>
      <c r="F21" s="4" t="n">
        <v>46011</v>
      </c>
      <c r="G21" s="2" t="n">
        <v>79</v>
      </c>
      <c r="H21" s="2" t="s">
        <v>18</v>
      </c>
      <c r="I21" s="5" t="n">
        <v>216.63</v>
      </c>
      <c r="J21" s="5" t="n">
        <f aca="false">G21*I21</f>
        <v>17113.77</v>
      </c>
      <c r="K21" s="5" t="n">
        <v>2453.1</v>
      </c>
      <c r="L21" s="5" t="n">
        <v>4226.23</v>
      </c>
      <c r="M21" s="5" t="n">
        <v>2273.24</v>
      </c>
      <c r="N21" s="5" t="n">
        <v>1617.59</v>
      </c>
      <c r="O21" s="5" t="n">
        <f aca="false">SUM(K21:N21)</f>
        <v>10570.16</v>
      </c>
      <c r="P21" s="6" t="n">
        <f aca="false">J21-O21</f>
        <v>6543.61</v>
      </c>
    </row>
    <row r="22" customFormat="false" ht="15" hidden="false" customHeight="false" outlineLevel="0" collapsed="false">
      <c r="A22" s="2" t="n">
        <v>21</v>
      </c>
      <c r="B22" s="3" t="s">
        <v>29</v>
      </c>
      <c r="C22" s="3" t="s">
        <v>30</v>
      </c>
      <c r="D22" s="4" t="n">
        <v>45316</v>
      </c>
      <c r="E22" s="4" t="n">
        <v>45416</v>
      </c>
      <c r="F22" s="4" t="n">
        <v>45410</v>
      </c>
      <c r="G22" s="2" t="n">
        <v>186</v>
      </c>
      <c r="H22" s="2" t="s">
        <v>18</v>
      </c>
      <c r="I22" s="5" t="n">
        <v>85.89</v>
      </c>
      <c r="J22" s="5" t="n">
        <f aca="false">G22*I22</f>
        <v>15975.54</v>
      </c>
      <c r="K22" s="5" t="n">
        <v>3913.29</v>
      </c>
      <c r="L22" s="5" t="n">
        <v>9483.92</v>
      </c>
      <c r="M22" s="5" t="n">
        <v>3903.77</v>
      </c>
      <c r="N22" s="5" t="n">
        <v>6041.73</v>
      </c>
      <c r="O22" s="5" t="n">
        <f aca="false">SUM(K22:N22)</f>
        <v>23342.71</v>
      </c>
      <c r="P22" s="6" t="n">
        <f aca="false">J22-O22</f>
        <v>-7367.17</v>
      </c>
    </row>
    <row r="23" customFormat="false" ht="15" hidden="false" customHeight="false" outlineLevel="0" collapsed="false">
      <c r="A23" s="2" t="n">
        <v>22</v>
      </c>
      <c r="B23" s="3" t="s">
        <v>31</v>
      </c>
      <c r="C23" s="3" t="s">
        <v>32</v>
      </c>
      <c r="D23" s="4" t="n">
        <v>45422</v>
      </c>
      <c r="E23" s="4" t="n">
        <v>45512</v>
      </c>
      <c r="F23" s="4" t="n">
        <v>45507</v>
      </c>
      <c r="G23" s="2" t="n">
        <v>70</v>
      </c>
      <c r="H23" s="2" t="s">
        <v>18</v>
      </c>
      <c r="I23" s="5" t="n">
        <v>274.93</v>
      </c>
      <c r="J23" s="5" t="n">
        <f aca="false">G23*I23</f>
        <v>19245.1</v>
      </c>
      <c r="K23" s="5" t="n">
        <v>2098.47</v>
      </c>
      <c r="L23" s="5" t="n">
        <v>3310.61</v>
      </c>
      <c r="M23" s="5" t="n">
        <v>4085.72</v>
      </c>
      <c r="N23" s="5" t="n">
        <v>1062.25</v>
      </c>
      <c r="O23" s="5" t="n">
        <f aca="false">SUM(K23:N23)</f>
        <v>10557.05</v>
      </c>
      <c r="P23" s="6" t="n">
        <f aca="false">J23-O23</f>
        <v>8688.05</v>
      </c>
    </row>
    <row r="24" customFormat="false" ht="15" hidden="false" customHeight="false" outlineLevel="0" collapsed="false">
      <c r="A24" s="2" t="n">
        <v>23</v>
      </c>
      <c r="B24" s="3" t="s">
        <v>29</v>
      </c>
      <c r="C24" s="3" t="s">
        <v>30</v>
      </c>
      <c r="D24" s="4" t="n">
        <v>45575</v>
      </c>
      <c r="E24" s="4" t="n">
        <v>45675</v>
      </c>
      <c r="F24" s="4" t="n">
        <v>45674</v>
      </c>
      <c r="G24" s="2" t="n">
        <v>108</v>
      </c>
      <c r="H24" s="2" t="s">
        <v>18</v>
      </c>
      <c r="I24" s="5" t="n">
        <v>94.46</v>
      </c>
      <c r="J24" s="5" t="n">
        <f aca="false">G24*I24</f>
        <v>10201.68</v>
      </c>
      <c r="K24" s="5" t="n">
        <v>3881.25</v>
      </c>
      <c r="L24" s="5" t="n">
        <v>6439.71</v>
      </c>
      <c r="M24" s="5" t="n">
        <v>3201.45</v>
      </c>
      <c r="N24" s="5" t="n">
        <v>4307.14</v>
      </c>
      <c r="O24" s="5" t="n">
        <f aca="false">SUM(K24:N24)</f>
        <v>17829.55</v>
      </c>
      <c r="P24" s="6" t="n">
        <f aca="false">J24-O24</f>
        <v>-7627.87</v>
      </c>
    </row>
    <row r="25" customFormat="false" ht="15" hidden="false" customHeight="false" outlineLevel="0" collapsed="false">
      <c r="A25" s="2" t="n">
        <v>24</v>
      </c>
      <c r="B25" s="3" t="s">
        <v>31</v>
      </c>
      <c r="C25" s="3" t="s">
        <v>32</v>
      </c>
      <c r="D25" s="4" t="n">
        <v>45693</v>
      </c>
      <c r="E25" s="4" t="n">
        <v>45783</v>
      </c>
      <c r="F25" s="4" t="n">
        <v>45779</v>
      </c>
      <c r="G25" s="2" t="n">
        <v>71</v>
      </c>
      <c r="H25" s="2" t="s">
        <v>18</v>
      </c>
      <c r="I25" s="5" t="n">
        <v>241.18</v>
      </c>
      <c r="J25" s="5" t="n">
        <f aca="false">G25*I25</f>
        <v>17123.78</v>
      </c>
      <c r="K25" s="5" t="n">
        <v>1652.2</v>
      </c>
      <c r="L25" s="5" t="n">
        <v>4090.83</v>
      </c>
      <c r="M25" s="5" t="n">
        <v>2563.75</v>
      </c>
      <c r="N25" s="5" t="n">
        <v>1874.33</v>
      </c>
      <c r="O25" s="5" t="n">
        <f aca="false">SUM(K25:N25)</f>
        <v>10181.11</v>
      </c>
      <c r="P25" s="6" t="n">
        <f aca="false">J25-O25</f>
        <v>6942.67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3" t="s">
        <v>30</v>
      </c>
      <c r="D26" s="4" t="n">
        <v>45846</v>
      </c>
      <c r="E26" s="4" t="n">
        <v>45946</v>
      </c>
      <c r="F26" s="4" t="n">
        <v>45952</v>
      </c>
      <c r="G26" s="2" t="n">
        <v>178</v>
      </c>
      <c r="H26" s="2" t="s">
        <v>18</v>
      </c>
      <c r="I26" s="5" t="n">
        <v>73.17</v>
      </c>
      <c r="J26" s="5" t="n">
        <f aca="false">G26*I26</f>
        <v>13024.26</v>
      </c>
      <c r="K26" s="5" t="n">
        <v>4268.82</v>
      </c>
      <c r="L26" s="5" t="n">
        <v>9821.87</v>
      </c>
      <c r="M26" s="5" t="n">
        <v>3204.56</v>
      </c>
      <c r="N26" s="5" t="n">
        <v>5422.45</v>
      </c>
      <c r="O26" s="5" t="n">
        <f aca="false">SUM(K26:N26)</f>
        <v>22717.7</v>
      </c>
      <c r="P26" s="6" t="n">
        <f aca="false">J26-O26</f>
        <v>-9693.44</v>
      </c>
    </row>
    <row r="27" customFormat="false" ht="15" hidden="false" customHeight="false" outlineLevel="0" collapsed="false">
      <c r="A27" s="2" t="n">
        <v>26</v>
      </c>
      <c r="B27" s="3" t="s">
        <v>31</v>
      </c>
      <c r="C27" s="3" t="s">
        <v>32</v>
      </c>
      <c r="D27" s="4" t="n">
        <v>45971</v>
      </c>
      <c r="E27" s="4" t="n">
        <v>46061</v>
      </c>
      <c r="F27" s="4" t="n">
        <v>46059</v>
      </c>
      <c r="G27" s="2" t="n">
        <v>42</v>
      </c>
      <c r="H27" s="2" t="s">
        <v>18</v>
      </c>
      <c r="I27" s="5" t="n">
        <v>338.85</v>
      </c>
      <c r="J27" s="5" t="n">
        <f aca="false">G27*I27</f>
        <v>14231.7</v>
      </c>
      <c r="K27" s="5" t="n">
        <v>2989.65</v>
      </c>
      <c r="L27" s="5" t="n">
        <v>4397.97</v>
      </c>
      <c r="M27" s="5" t="n">
        <v>3709.59</v>
      </c>
      <c r="N27" s="5" t="n">
        <v>1085.88</v>
      </c>
      <c r="O27" s="5" t="n">
        <f aca="false">SUM(K27:N27)</f>
        <v>12183.09</v>
      </c>
      <c r="P27" s="6" t="n">
        <f aca="false">J27-O27</f>
        <v>2048.61</v>
      </c>
    </row>
    <row r="28" customFormat="false" ht="15" hidden="false" customHeight="false" outlineLevel="0" collapsed="false">
      <c r="A28" s="2" t="n">
        <v>27</v>
      </c>
      <c r="B28" s="3" t="s">
        <v>33</v>
      </c>
      <c r="C28" s="3" t="s">
        <v>34</v>
      </c>
      <c r="D28" s="4" t="n">
        <v>45397</v>
      </c>
      <c r="E28" s="4" t="n">
        <v>45667</v>
      </c>
      <c r="F28" s="4" t="n">
        <v>45672</v>
      </c>
      <c r="G28" s="2" t="n">
        <v>56</v>
      </c>
      <c r="H28" s="2" t="s">
        <v>18</v>
      </c>
      <c r="I28" s="5" t="n">
        <v>424.95</v>
      </c>
      <c r="J28" s="5" t="n">
        <f aca="false">G28*I28</f>
        <v>23797.2</v>
      </c>
      <c r="K28" s="5" t="n">
        <v>6221.05</v>
      </c>
      <c r="L28" s="5" t="n">
        <v>4435.87</v>
      </c>
      <c r="M28" s="5" t="n">
        <v>2038.09</v>
      </c>
      <c r="N28" s="5" t="n">
        <v>3032.67</v>
      </c>
      <c r="O28" s="5" t="n">
        <f aca="false">SUM(K28:N28)</f>
        <v>15727.68</v>
      </c>
      <c r="P28" s="6" t="n">
        <f aca="false">J28-O28</f>
        <v>8069.52</v>
      </c>
    </row>
    <row r="29" customFormat="false" ht="15" hidden="false" customHeight="false" outlineLevel="0" collapsed="false">
      <c r="A29" s="2" t="n">
        <v>28</v>
      </c>
      <c r="B29" s="3" t="s">
        <v>33</v>
      </c>
      <c r="C29" s="3" t="s">
        <v>34</v>
      </c>
      <c r="D29" s="4" t="n">
        <v>45726</v>
      </c>
      <c r="E29" s="4" t="n">
        <v>45996</v>
      </c>
      <c r="F29" s="4" t="n">
        <v>45998</v>
      </c>
      <c r="G29" s="2" t="n">
        <v>63</v>
      </c>
      <c r="H29" s="2" t="s">
        <v>18</v>
      </c>
      <c r="I29" s="5" t="n">
        <v>453.14</v>
      </c>
      <c r="J29" s="5" t="n">
        <f aca="false">G29*I29</f>
        <v>28547.82</v>
      </c>
      <c r="K29" s="5" t="n">
        <v>5584.77</v>
      </c>
      <c r="L29" s="5" t="n">
        <v>3439.81</v>
      </c>
      <c r="M29" s="5" t="n">
        <v>1814.76</v>
      </c>
      <c r="N29" s="5" t="n">
        <v>2054.08</v>
      </c>
      <c r="O29" s="5" t="n">
        <f aca="false">SUM(K29:N29)</f>
        <v>12893.42</v>
      </c>
      <c r="P29" s="6" t="n">
        <f aca="false">J29-O29</f>
        <v>15654.4</v>
      </c>
    </row>
    <row r="30" customFormat="false" ht="15" hidden="false" customHeight="false" outlineLevel="0" collapsed="false">
      <c r="A30" s="2" t="n">
        <v>29</v>
      </c>
      <c r="B30" s="3" t="s">
        <v>35</v>
      </c>
      <c r="C30" s="3" t="s">
        <v>36</v>
      </c>
      <c r="D30" s="4" t="n">
        <v>45334</v>
      </c>
      <c r="E30" s="4" t="n">
        <v>45604</v>
      </c>
      <c r="F30" s="4" t="n">
        <v>45607</v>
      </c>
      <c r="G30" s="2" t="n">
        <v>197</v>
      </c>
      <c r="H30" s="2" t="s">
        <v>18</v>
      </c>
      <c r="I30" s="5" t="n">
        <v>88.41</v>
      </c>
      <c r="J30" s="5" t="n">
        <f aca="false">G30*I30</f>
        <v>17416.77</v>
      </c>
      <c r="K30" s="5" t="n">
        <v>1642.92</v>
      </c>
      <c r="L30" s="5" t="n">
        <v>4364.04</v>
      </c>
      <c r="M30" s="5" t="n">
        <v>2768.17</v>
      </c>
      <c r="N30" s="5" t="n">
        <v>1518.4</v>
      </c>
      <c r="O30" s="5" t="n">
        <f aca="false">SUM(K30:N30)</f>
        <v>10293.53</v>
      </c>
      <c r="P30" s="6" t="n">
        <f aca="false">J30-O30</f>
        <v>7123.24</v>
      </c>
    </row>
    <row r="31" customFormat="false" ht="15" hidden="false" customHeight="false" outlineLevel="0" collapsed="false">
      <c r="A31" s="2" t="n">
        <v>30</v>
      </c>
      <c r="B31" s="3" t="s">
        <v>35</v>
      </c>
      <c r="C31" s="3" t="s">
        <v>36</v>
      </c>
      <c r="D31" s="4" t="n">
        <v>45334</v>
      </c>
      <c r="E31" s="4" t="n">
        <v>45604</v>
      </c>
      <c r="F31" s="4" t="n">
        <v>45604</v>
      </c>
      <c r="G31" s="2" t="n">
        <v>151</v>
      </c>
      <c r="H31" s="2" t="s">
        <v>18</v>
      </c>
      <c r="I31" s="5" t="n">
        <v>91.01</v>
      </c>
      <c r="J31" s="5" t="n">
        <f aca="false">G31*I31</f>
        <v>13742.51</v>
      </c>
      <c r="K31" s="5" t="n">
        <v>1222.79</v>
      </c>
      <c r="L31" s="5" t="n">
        <v>6166.27</v>
      </c>
      <c r="M31" s="5" t="n">
        <v>2254.05</v>
      </c>
      <c r="N31" s="5" t="n">
        <v>1636.44</v>
      </c>
      <c r="O31" s="5" t="n">
        <f aca="false">SUM(K31:N31)</f>
        <v>11279.55</v>
      </c>
      <c r="P31" s="6" t="n">
        <f aca="false">J31-O31</f>
        <v>2462.96</v>
      </c>
    </row>
    <row r="32" customFormat="false" ht="15" hidden="false" customHeight="false" outlineLevel="0" collapsed="false">
      <c r="A32" s="2" t="n">
        <v>31</v>
      </c>
      <c r="B32" s="3" t="s">
        <v>37</v>
      </c>
      <c r="C32" s="3" t="s">
        <v>38</v>
      </c>
      <c r="D32" s="4" t="n">
        <v>43252</v>
      </c>
      <c r="E32" s="4" t="n">
        <v>44347</v>
      </c>
      <c r="F32" s="4" t="n">
        <v>44348</v>
      </c>
      <c r="G32" s="2" t="n">
        <v>168</v>
      </c>
      <c r="H32" s="2" t="s">
        <v>18</v>
      </c>
      <c r="I32" s="5" t="n">
        <v>243.04</v>
      </c>
      <c r="J32" s="5" t="n">
        <f aca="false">G32*I32</f>
        <v>40830.72</v>
      </c>
      <c r="K32" s="5" t="n">
        <v>0</v>
      </c>
      <c r="L32" s="5" t="n">
        <v>5557.89</v>
      </c>
      <c r="M32" s="5" t="n">
        <v>3612.16</v>
      </c>
      <c r="N32" s="5" t="n">
        <v>2727.5</v>
      </c>
      <c r="O32" s="5" t="n">
        <f aca="false">SUM(K32:N32)</f>
        <v>11897.55</v>
      </c>
      <c r="P32" s="6" t="n">
        <f aca="false">J32-O32</f>
        <v>28933.17</v>
      </c>
    </row>
    <row r="33" customFormat="false" ht="15" hidden="false" customHeight="false" outlineLevel="0" collapsed="false">
      <c r="A33" s="2" t="n">
        <v>32</v>
      </c>
      <c r="B33" s="3" t="s">
        <v>37</v>
      </c>
      <c r="C33" s="3" t="s">
        <v>38</v>
      </c>
      <c r="D33" s="4" t="n">
        <v>43252</v>
      </c>
      <c r="E33" s="4" t="n">
        <v>44347</v>
      </c>
      <c r="F33" s="4" t="n">
        <v>44344</v>
      </c>
      <c r="G33" s="2" t="n">
        <v>119</v>
      </c>
      <c r="H33" s="2" t="s">
        <v>18</v>
      </c>
      <c r="I33" s="5" t="n">
        <v>187.99</v>
      </c>
      <c r="J33" s="5" t="n">
        <f aca="false">G33*I33</f>
        <v>22370.81</v>
      </c>
      <c r="K33" s="5" t="n">
        <v>0</v>
      </c>
      <c r="L33" s="5" t="n">
        <v>5193.01</v>
      </c>
      <c r="M33" s="5" t="n">
        <v>3979.21</v>
      </c>
      <c r="N33" s="5" t="n">
        <v>2685.17</v>
      </c>
      <c r="O33" s="5" t="n">
        <f aca="false">SUM(K33:N33)</f>
        <v>11857.39</v>
      </c>
      <c r="P33" s="6" t="n">
        <f aca="false">J33-O33</f>
        <v>10513.42</v>
      </c>
    </row>
    <row r="34" customFormat="false" ht="15" hidden="false" customHeight="false" outlineLevel="0" collapsed="false">
      <c r="A34" s="2" t="n">
        <v>33</v>
      </c>
      <c r="B34" s="3" t="s">
        <v>39</v>
      </c>
      <c r="C34" s="3" t="s">
        <v>40</v>
      </c>
      <c r="D34" s="4" t="n">
        <v>42248</v>
      </c>
      <c r="E34" s="4" t="n">
        <v>44073</v>
      </c>
      <c r="F34" s="4" t="n">
        <v>44067</v>
      </c>
      <c r="G34" s="2" t="n">
        <v>300</v>
      </c>
      <c r="H34" s="2" t="s">
        <v>41</v>
      </c>
      <c r="I34" s="5" t="n">
        <v>97.78</v>
      </c>
      <c r="J34" s="5" t="n">
        <f aca="false">G34*I34</f>
        <v>29334</v>
      </c>
      <c r="K34" s="5" t="n">
        <v>0</v>
      </c>
      <c r="L34" s="5" t="n">
        <v>5869.55</v>
      </c>
      <c r="M34" s="5" t="n">
        <v>947.23</v>
      </c>
      <c r="N34" s="5" t="n">
        <v>2905.53</v>
      </c>
      <c r="O34" s="5" t="n">
        <f aca="false">SUM(K34:N34)</f>
        <v>9722.31</v>
      </c>
      <c r="P34" s="6" t="n">
        <f aca="false">J34-O34</f>
        <v>19611.69</v>
      </c>
    </row>
    <row r="35" customFormat="false" ht="15" hidden="false" customHeight="false" outlineLevel="0" collapsed="false">
      <c r="A35" s="2" t="n">
        <v>34</v>
      </c>
      <c r="B35" s="3" t="s">
        <v>39</v>
      </c>
      <c r="C35" s="3" t="s">
        <v>40</v>
      </c>
      <c r="D35" s="4" t="n">
        <v>42248</v>
      </c>
      <c r="E35" s="4" t="n">
        <v>44073</v>
      </c>
      <c r="F35" s="4" t="n">
        <v>44072</v>
      </c>
      <c r="G35" s="2" t="n">
        <v>269</v>
      </c>
      <c r="H35" s="2" t="s">
        <v>41</v>
      </c>
      <c r="I35" s="5" t="n">
        <v>118.65</v>
      </c>
      <c r="J35" s="5" t="n">
        <f aca="false">G35*I35</f>
        <v>31916.85</v>
      </c>
      <c r="K35" s="5" t="n">
        <v>0</v>
      </c>
      <c r="L35" s="5" t="n">
        <v>3661.39</v>
      </c>
      <c r="M35" s="5" t="n">
        <v>726.85</v>
      </c>
      <c r="N35" s="5" t="n">
        <v>1795.06</v>
      </c>
      <c r="O35" s="5" t="n">
        <f aca="false">SUM(K35:N35)</f>
        <v>6183.3</v>
      </c>
      <c r="P35" s="6" t="n">
        <f aca="false">J35-O35</f>
        <v>25733.55</v>
      </c>
    </row>
    <row r="36" customFormat="false" ht="15" hidden="false" customHeight="false" outlineLevel="0" collapsed="false">
      <c r="A36" s="2" t="n">
        <v>35</v>
      </c>
      <c r="B36" s="3" t="s">
        <v>42</v>
      </c>
      <c r="C36" s="3" t="s">
        <v>43</v>
      </c>
      <c r="D36" s="4" t="n">
        <v>44317</v>
      </c>
      <c r="E36" s="4" t="n">
        <v>45412</v>
      </c>
      <c r="F36" s="4" t="n">
        <v>45414</v>
      </c>
      <c r="G36" s="2" t="n">
        <v>53</v>
      </c>
      <c r="H36" s="2" t="s">
        <v>18</v>
      </c>
      <c r="I36" s="5" t="n">
        <v>232.74</v>
      </c>
      <c r="J36" s="5" t="n">
        <f aca="false">G36*I36</f>
        <v>12335.22</v>
      </c>
      <c r="K36" s="5" t="n">
        <v>0</v>
      </c>
      <c r="L36" s="5" t="n">
        <v>3220.52</v>
      </c>
      <c r="M36" s="5" t="n">
        <v>1002.86</v>
      </c>
      <c r="N36" s="5" t="n">
        <v>1909.2</v>
      </c>
      <c r="O36" s="5" t="n">
        <f aca="false">SUM(K36:N36)</f>
        <v>6132.58</v>
      </c>
      <c r="P36" s="6" t="n">
        <f aca="false">J36-O36</f>
        <v>6202.64</v>
      </c>
    </row>
    <row r="37" customFormat="false" ht="15" hidden="false" customHeight="false" outlineLevel="0" collapsed="false">
      <c r="A37" s="2" t="n">
        <v>36</v>
      </c>
      <c r="B37" s="3" t="s">
        <v>42</v>
      </c>
      <c r="C37" s="3" t="s">
        <v>43</v>
      </c>
      <c r="D37" s="4" t="n">
        <v>44317</v>
      </c>
      <c r="E37" s="4" t="n">
        <v>45412</v>
      </c>
      <c r="F37" s="4" t="n">
        <v>45409</v>
      </c>
      <c r="G37" s="2" t="n">
        <v>62</v>
      </c>
      <c r="H37" s="2" t="s">
        <v>18</v>
      </c>
      <c r="I37" s="5" t="n">
        <v>273.95</v>
      </c>
      <c r="J37" s="5" t="n">
        <f aca="false">G37*I37</f>
        <v>16984.9</v>
      </c>
      <c r="K37" s="5" t="n">
        <v>0</v>
      </c>
      <c r="L37" s="5" t="n">
        <v>3321.17</v>
      </c>
      <c r="M37" s="5" t="n">
        <v>2364.67</v>
      </c>
      <c r="N37" s="5" t="n">
        <v>1782.3</v>
      </c>
      <c r="O37" s="5" t="n">
        <f aca="false">SUM(K37:N37)</f>
        <v>7468.14</v>
      </c>
      <c r="P37" s="6" t="n">
        <f aca="false">J37-O37</f>
        <v>9516.76</v>
      </c>
    </row>
    <row r="38" customFormat="false" ht="15" hidden="false" customHeight="false" outlineLevel="0" collapsed="false">
      <c r="A38" s="2" t="n">
        <v>37</v>
      </c>
      <c r="B38" s="3" t="s">
        <v>27</v>
      </c>
      <c r="C38" s="3" t="s">
        <v>28</v>
      </c>
      <c r="D38" s="4" t="n">
        <v>45818</v>
      </c>
      <c r="E38" s="4" t="n">
        <v>45878</v>
      </c>
      <c r="F38" s="4" t="n">
        <v>45878</v>
      </c>
      <c r="G38" s="2" t="n">
        <v>93</v>
      </c>
      <c r="H38" s="2" t="s">
        <v>18</v>
      </c>
      <c r="I38" s="5" t="n">
        <v>125.95</v>
      </c>
      <c r="J38" s="5" t="n">
        <f aca="false">G38*I38</f>
        <v>11713.35</v>
      </c>
      <c r="K38" s="5" t="n">
        <v>1889.01</v>
      </c>
      <c r="L38" s="5" t="n">
        <v>3584.81</v>
      </c>
      <c r="M38" s="5" t="n">
        <v>2453.76</v>
      </c>
      <c r="N38" s="5" t="n">
        <v>1086.75</v>
      </c>
      <c r="O38" s="5" t="n">
        <f aca="false">SUM(K38:N38)</f>
        <v>9014.33</v>
      </c>
      <c r="P38" s="6" t="n">
        <f aca="false">J38-O38</f>
        <v>2699.02</v>
      </c>
    </row>
    <row r="40" customFormat="false" ht="15" hidden="false" customHeight="false" outlineLevel="0" collapsed="false">
      <c r="F40" s="7" t="s">
        <v>44</v>
      </c>
      <c r="G40" s="8" t="n">
        <f aca="false">SUM(G2:G38)</f>
        <v>4631</v>
      </c>
      <c r="J40" s="8" t="n">
        <f aca="false">SUM(J2:J38)</f>
        <v>650637.91</v>
      </c>
      <c r="O40" s="8" t="n">
        <f aca="false">SUM(O2:O38)</f>
        <v>601124.38</v>
      </c>
      <c r="P40" s="8" t="n">
        <f aca="false">SUM(P2:P38)</f>
        <v>49513.53</v>
      </c>
    </row>
    <row r="42" customFormat="false" ht="54.75" hidden="false" customHeight="true" outlineLevel="0" collapsed="false">
      <c r="B42" s="9" t="s">
        <v>45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</sheetData>
  <mergeCells count="1">
    <mergeCell ref="B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6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" t="s">
        <v>1</v>
      </c>
      <c r="B1" s="1" t="s">
        <v>46</v>
      </c>
      <c r="C1" s="1" t="s">
        <v>47</v>
      </c>
      <c r="D1" s="1" t="s">
        <v>7</v>
      </c>
      <c r="E1" s="1" t="s">
        <v>48</v>
      </c>
      <c r="F1" s="1" t="s">
        <v>9</v>
      </c>
      <c r="G1" s="1" t="s">
        <v>14</v>
      </c>
      <c r="H1" s="1" t="s">
        <v>15</v>
      </c>
      <c r="I1" s="1" t="s">
        <v>49</v>
      </c>
    </row>
    <row r="2" customFormat="false" ht="15" hidden="false" customHeight="false" outlineLevel="0" collapsed="false">
      <c r="A2" s="3" t="s">
        <v>16</v>
      </c>
      <c r="B2" s="2" t="n">
        <f aca="false">COUNTIF('Harvest Records'!B:B,A2)</f>
        <v>8</v>
      </c>
      <c r="C2" s="2" t="n">
        <f aca="false">SUMIF('Harvest Records'!B:B,A2,'Harvest Records'!G:G)</f>
        <v>1418</v>
      </c>
      <c r="D2" s="2" t="s">
        <v>18</v>
      </c>
      <c r="E2" s="5" t="n">
        <f aca="false">IFERROR(SUMIF('Harvest Records'!B:B,A2,'Harvest Records'!J:J)/C2,0)</f>
        <v>114.182270803949</v>
      </c>
      <c r="F2" s="5" t="n">
        <f aca="false">SUMIF('Harvest Records'!B:B,A2,'Harvest Records'!J:J)</f>
        <v>161910.46</v>
      </c>
      <c r="G2" s="5" t="n">
        <f aca="false">SUMIF('Harvest Records'!B:B,A2,'Harvest Records'!O:O)</f>
        <v>242108.17</v>
      </c>
      <c r="H2" s="5" t="n">
        <f aca="false">F2-G2</f>
        <v>-80197.71</v>
      </c>
      <c r="I2" s="10" t="n">
        <f aca="false">IFERROR(H2/F2*100,0)</f>
        <v>-49.5321364660443</v>
      </c>
    </row>
    <row r="3" customFormat="false" ht="15" hidden="false" customHeight="false" outlineLevel="0" collapsed="false">
      <c r="A3" s="3" t="s">
        <v>21</v>
      </c>
      <c r="B3" s="2" t="n">
        <f aca="false">COUNTIF('Harvest Records'!B:B,A3)</f>
        <v>3</v>
      </c>
      <c r="C3" s="2" t="n">
        <f aca="false">SUMIF('Harvest Records'!B:B,A3,'Harvest Records'!G:G)</f>
        <v>389</v>
      </c>
      <c r="D3" s="2" t="s">
        <v>18</v>
      </c>
      <c r="E3" s="5" t="n">
        <f aca="false">IFERROR(SUMIF('Harvest Records'!B:B,A3,'Harvest Records'!J:J)/C3,0)</f>
        <v>105.248457583548</v>
      </c>
      <c r="F3" s="5" t="n">
        <f aca="false">SUMIF('Harvest Records'!B:B,A3,'Harvest Records'!J:J)</f>
        <v>40941.65</v>
      </c>
      <c r="G3" s="5" t="n">
        <f aca="false">SUMIF('Harvest Records'!B:B,A3,'Harvest Records'!O:O)</f>
        <v>47749.97</v>
      </c>
      <c r="H3" s="5" t="n">
        <f aca="false">F3-G3</f>
        <v>-6808.32</v>
      </c>
      <c r="I3" s="10" t="n">
        <f aca="false">IFERROR(H3/F3*100,0)</f>
        <v>-16.6293249050783</v>
      </c>
    </row>
    <row r="4" customFormat="false" ht="15" hidden="false" customHeight="false" outlineLevel="0" collapsed="false">
      <c r="A4" s="3" t="s">
        <v>23</v>
      </c>
      <c r="B4" s="2" t="n">
        <f aca="false">COUNTIF('Harvest Records'!B:B,A4)</f>
        <v>3</v>
      </c>
      <c r="C4" s="2" t="n">
        <f aca="false">SUMIF('Harvest Records'!B:B,A4,'Harvest Records'!G:G)</f>
        <v>235</v>
      </c>
      <c r="D4" s="2" t="s">
        <v>18</v>
      </c>
      <c r="E4" s="5" t="n">
        <f aca="false">IFERROR(SUMIF('Harvest Records'!B:B,A4,'Harvest Records'!J:J)/C4,0)</f>
        <v>112.273872340426</v>
      </c>
      <c r="F4" s="5" t="n">
        <f aca="false">SUMIF('Harvest Records'!B:B,A4,'Harvest Records'!J:J)</f>
        <v>26384.36</v>
      </c>
      <c r="G4" s="5" t="n">
        <f aca="false">SUMIF('Harvest Records'!B:B,A4,'Harvest Records'!O:O)</f>
        <v>48465.74</v>
      </c>
      <c r="H4" s="5" t="n">
        <f aca="false">F4-G4</f>
        <v>-22081.38</v>
      </c>
      <c r="I4" s="10" t="n">
        <f aca="false">IFERROR(H4/F4*100,0)</f>
        <v>-83.6911715880165</v>
      </c>
    </row>
    <row r="5" customFormat="false" ht="15" hidden="false" customHeight="false" outlineLevel="0" collapsed="false">
      <c r="A5" s="3" t="s">
        <v>25</v>
      </c>
      <c r="B5" s="2" t="n">
        <f aca="false">COUNTIF('Harvest Records'!B:B,A5)</f>
        <v>4</v>
      </c>
      <c r="C5" s="2" t="n">
        <f aca="false">SUMIF('Harvest Records'!B:B,A5,'Harvest Records'!G:G)</f>
        <v>266</v>
      </c>
      <c r="D5" s="2" t="s">
        <v>18</v>
      </c>
      <c r="E5" s="5" t="n">
        <f aca="false">IFERROR(SUMIF('Harvest Records'!B:B,A5,'Harvest Records'!J:J)/C5,0)</f>
        <v>237.889210526316</v>
      </c>
      <c r="F5" s="5" t="n">
        <f aca="false">SUMIF('Harvest Records'!B:B,A5,'Harvest Records'!J:J)</f>
        <v>63278.53</v>
      </c>
      <c r="G5" s="5" t="n">
        <f aca="false">SUMIF('Harvest Records'!B:B,A5,'Harvest Records'!O:O)</f>
        <v>36556.62</v>
      </c>
      <c r="H5" s="5" t="n">
        <f aca="false">F5-G5</f>
        <v>26721.91</v>
      </c>
      <c r="I5" s="10" t="n">
        <f aca="false">IFERROR(H5/F5*100,0)</f>
        <v>42.2290309209143</v>
      </c>
    </row>
    <row r="6" customFormat="false" ht="15" hidden="false" customHeight="false" outlineLevel="0" collapsed="false">
      <c r="A6" s="3" t="s">
        <v>27</v>
      </c>
      <c r="B6" s="2" t="n">
        <f aca="false">COUNTIF('Harvest Records'!B:B,A6)</f>
        <v>3</v>
      </c>
      <c r="C6" s="2" t="n">
        <f aca="false">SUMIF('Harvest Records'!B:B,A6,'Harvest Records'!G:G)</f>
        <v>230</v>
      </c>
      <c r="D6" s="2" t="s">
        <v>18</v>
      </c>
      <c r="E6" s="5" t="n">
        <f aca="false">IFERROR(SUMIF('Harvest Records'!B:B,A6,'Harvest Records'!J:J)/C6,0)</f>
        <v>134.974130434783</v>
      </c>
      <c r="F6" s="5" t="n">
        <f aca="false">SUMIF('Harvest Records'!B:B,A6,'Harvest Records'!J:J)</f>
        <v>31044.05</v>
      </c>
      <c r="G6" s="5" t="n">
        <f aca="false">SUMIF('Harvest Records'!B:B,A6,'Harvest Records'!O:O)</f>
        <v>25977.22</v>
      </c>
      <c r="H6" s="5" t="n">
        <f aca="false">F6-G6</f>
        <v>5066.83</v>
      </c>
      <c r="I6" s="10" t="n">
        <f aca="false">IFERROR(H6/F6*100,0)</f>
        <v>16.3214206909214</v>
      </c>
    </row>
    <row r="7" customFormat="false" ht="15" hidden="false" customHeight="false" outlineLevel="0" collapsed="false">
      <c r="A7" s="3" t="s">
        <v>29</v>
      </c>
      <c r="B7" s="2" t="n">
        <f aca="false">COUNTIF('Harvest Records'!B:B,A7)</f>
        <v>3</v>
      </c>
      <c r="C7" s="2" t="n">
        <f aca="false">SUMIF('Harvest Records'!B:B,A7,'Harvest Records'!G:G)</f>
        <v>472</v>
      </c>
      <c r="D7" s="2" t="s">
        <v>18</v>
      </c>
      <c r="E7" s="5" t="n">
        <f aca="false">IFERROR(SUMIF('Harvest Records'!B:B,A7,'Harvest Records'!J:J)/C7,0)</f>
        <v>83.0539830508475</v>
      </c>
      <c r="F7" s="5" t="n">
        <f aca="false">SUMIF('Harvest Records'!B:B,A7,'Harvest Records'!J:J)</f>
        <v>39201.48</v>
      </c>
      <c r="G7" s="5" t="n">
        <f aca="false">SUMIF('Harvest Records'!B:B,A7,'Harvest Records'!O:O)</f>
        <v>63889.96</v>
      </c>
      <c r="H7" s="5" t="n">
        <f aca="false">F7-G7</f>
        <v>-24688.48</v>
      </c>
      <c r="I7" s="10" t="n">
        <f aca="false">IFERROR(H7/F7*100,0)</f>
        <v>-62.9784385691561</v>
      </c>
    </row>
    <row r="8" customFormat="false" ht="15" hidden="false" customHeight="false" outlineLevel="0" collapsed="false">
      <c r="A8" s="3" t="s">
        <v>31</v>
      </c>
      <c r="B8" s="2" t="n">
        <f aca="false">COUNTIF('Harvest Records'!B:B,A8)</f>
        <v>3</v>
      </c>
      <c r="C8" s="2" t="n">
        <f aca="false">SUMIF('Harvest Records'!B:B,A8,'Harvest Records'!G:G)</f>
        <v>183</v>
      </c>
      <c r="D8" s="2" t="s">
        <v>18</v>
      </c>
      <c r="E8" s="5" t="n">
        <f aca="false">IFERROR(SUMIF('Harvest Records'!B:B,A8,'Harvest Records'!J:J)/C8,0)</f>
        <v>276.505901639344</v>
      </c>
      <c r="F8" s="5" t="n">
        <f aca="false">SUMIF('Harvest Records'!B:B,A8,'Harvest Records'!J:J)</f>
        <v>50600.58</v>
      </c>
      <c r="G8" s="5" t="n">
        <f aca="false">SUMIF('Harvest Records'!B:B,A8,'Harvest Records'!O:O)</f>
        <v>32921.25</v>
      </c>
      <c r="H8" s="5" t="n">
        <f aca="false">F8-G8</f>
        <v>17679.33</v>
      </c>
      <c r="I8" s="10" t="n">
        <f aca="false">IFERROR(H8/F8*100,0)</f>
        <v>34.938986865368</v>
      </c>
    </row>
    <row r="9" customFormat="false" ht="15" hidden="false" customHeight="false" outlineLevel="0" collapsed="false">
      <c r="A9" s="3" t="s">
        <v>33</v>
      </c>
      <c r="B9" s="2" t="n">
        <f aca="false">COUNTIF('Harvest Records'!B:B,A9)</f>
        <v>2</v>
      </c>
      <c r="C9" s="2" t="n">
        <f aca="false">SUMIF('Harvest Records'!B:B,A9,'Harvest Records'!G:G)</f>
        <v>119</v>
      </c>
      <c r="D9" s="2" t="s">
        <v>18</v>
      </c>
      <c r="E9" s="5" t="n">
        <f aca="false">IFERROR(SUMIF('Harvest Records'!B:B,A9,'Harvest Records'!J:J)/C9,0)</f>
        <v>439.874117647059</v>
      </c>
      <c r="F9" s="5" t="n">
        <f aca="false">SUMIF('Harvest Records'!B:B,A9,'Harvest Records'!J:J)</f>
        <v>52345.02</v>
      </c>
      <c r="G9" s="5" t="n">
        <f aca="false">SUMIF('Harvest Records'!B:B,A9,'Harvest Records'!O:O)</f>
        <v>28621.1</v>
      </c>
      <c r="H9" s="5" t="n">
        <f aca="false">F9-G9</f>
        <v>23723.92</v>
      </c>
      <c r="I9" s="10" t="n">
        <f aca="false">IFERROR(H9/F9*100,0)</f>
        <v>45.3222102121654</v>
      </c>
    </row>
    <row r="10" customFormat="false" ht="15" hidden="false" customHeight="false" outlineLevel="0" collapsed="false">
      <c r="A10" s="3" t="s">
        <v>35</v>
      </c>
      <c r="B10" s="2" t="n">
        <f aca="false">COUNTIF('Harvest Records'!B:B,A10)</f>
        <v>2</v>
      </c>
      <c r="C10" s="2" t="n">
        <f aca="false">SUMIF('Harvest Records'!B:B,A10,'Harvest Records'!G:G)</f>
        <v>348</v>
      </c>
      <c r="D10" s="2" t="s">
        <v>18</v>
      </c>
      <c r="E10" s="5" t="n">
        <f aca="false">IFERROR(SUMIF('Harvest Records'!B:B,A10,'Harvest Records'!J:J)/C10,0)</f>
        <v>89.5381609195402</v>
      </c>
      <c r="F10" s="5" t="n">
        <f aca="false">SUMIF('Harvest Records'!B:B,A10,'Harvest Records'!J:J)</f>
        <v>31159.28</v>
      </c>
      <c r="G10" s="5" t="n">
        <f aca="false">SUMIF('Harvest Records'!B:B,A10,'Harvest Records'!O:O)</f>
        <v>21573.08</v>
      </c>
      <c r="H10" s="5" t="n">
        <f aca="false">F10-G10</f>
        <v>9586.2</v>
      </c>
      <c r="I10" s="10" t="n">
        <f aca="false">IFERROR(H10/F10*100,0)</f>
        <v>30.7651524682213</v>
      </c>
    </row>
    <row r="11" customFormat="false" ht="15" hidden="false" customHeight="false" outlineLevel="0" collapsed="false">
      <c r="A11" s="3" t="s">
        <v>37</v>
      </c>
      <c r="B11" s="2" t="n">
        <f aca="false">COUNTIF('Harvest Records'!B:B,A11)</f>
        <v>2</v>
      </c>
      <c r="C11" s="2" t="n">
        <f aca="false">SUMIF('Harvest Records'!B:B,A11,'Harvest Records'!G:G)</f>
        <v>287</v>
      </c>
      <c r="D11" s="2" t="s">
        <v>18</v>
      </c>
      <c r="E11" s="5" t="n">
        <f aca="false">IFERROR(SUMIF('Harvest Records'!B:B,A11,'Harvest Records'!J:J)/C11,0)</f>
        <v>220.214390243902</v>
      </c>
      <c r="F11" s="5" t="n">
        <f aca="false">SUMIF('Harvest Records'!B:B,A11,'Harvest Records'!J:J)</f>
        <v>63201.53</v>
      </c>
      <c r="G11" s="5" t="n">
        <f aca="false">SUMIF('Harvest Records'!B:B,A11,'Harvest Records'!O:O)</f>
        <v>23754.94</v>
      </c>
      <c r="H11" s="5" t="n">
        <f aca="false">F11-G11</f>
        <v>39446.59</v>
      </c>
      <c r="I11" s="10" t="n">
        <f aca="false">IFERROR(H11/F11*100,0)</f>
        <v>62.4139795349891</v>
      </c>
    </row>
    <row r="12" customFormat="false" ht="15" hidden="false" customHeight="false" outlineLevel="0" collapsed="false">
      <c r="A12" s="3" t="s">
        <v>39</v>
      </c>
      <c r="B12" s="2" t="n">
        <f aca="false">COUNTIF('Harvest Records'!B:B,A12)</f>
        <v>2</v>
      </c>
      <c r="C12" s="2" t="n">
        <f aca="false">SUMIF('Harvest Records'!B:B,A12,'Harvest Records'!G:G)</f>
        <v>569</v>
      </c>
      <c r="D12" s="2" t="s">
        <v>41</v>
      </c>
      <c r="E12" s="5" t="n">
        <f aca="false">IFERROR(SUMIF('Harvest Records'!B:B,A12,'Harvest Records'!J:J)/C12,0)</f>
        <v>107.646485061511</v>
      </c>
      <c r="F12" s="5" t="n">
        <f aca="false">SUMIF('Harvest Records'!B:B,A12,'Harvest Records'!J:J)</f>
        <v>61250.85</v>
      </c>
      <c r="G12" s="5" t="n">
        <f aca="false">SUMIF('Harvest Records'!B:B,A12,'Harvest Records'!O:O)</f>
        <v>15905.61</v>
      </c>
      <c r="H12" s="5" t="n">
        <f aca="false">F12-G12</f>
        <v>45345.24</v>
      </c>
      <c r="I12" s="10" t="n">
        <f aca="false">IFERROR(H12/F12*100,0)</f>
        <v>74.032017514859</v>
      </c>
    </row>
    <row r="13" customFormat="false" ht="15" hidden="false" customHeight="false" outlineLevel="0" collapsed="false">
      <c r="A13" s="3" t="s">
        <v>42</v>
      </c>
      <c r="B13" s="2" t="n">
        <f aca="false">COUNTIF('Harvest Records'!B:B,A13)</f>
        <v>2</v>
      </c>
      <c r="C13" s="2" t="n">
        <f aca="false">SUMIF('Harvest Records'!B:B,A13,'Harvest Records'!G:G)</f>
        <v>115</v>
      </c>
      <c r="D13" s="2" t="s">
        <v>18</v>
      </c>
      <c r="E13" s="5" t="n">
        <f aca="false">IFERROR(SUMIF('Harvest Records'!B:B,A13,'Harvest Records'!J:J)/C13,0)</f>
        <v>254.957565217391</v>
      </c>
      <c r="F13" s="5" t="n">
        <f aca="false">SUMIF('Harvest Records'!B:B,A13,'Harvest Records'!J:J)</f>
        <v>29320.12</v>
      </c>
      <c r="G13" s="5" t="n">
        <f aca="false">SUMIF('Harvest Records'!B:B,A13,'Harvest Records'!O:O)</f>
        <v>13600.72</v>
      </c>
      <c r="H13" s="5" t="n">
        <f aca="false">F13-G13</f>
        <v>15719.4</v>
      </c>
      <c r="I13" s="10" t="n">
        <f aca="false">IFERROR(H13/F13*100,0)</f>
        <v>53.6130138621534</v>
      </c>
    </row>
    <row r="14" customFormat="false" ht="15" hidden="false" customHeight="false" outlineLevel="0" collapsed="false">
      <c r="A14" s="11" t="s">
        <v>44</v>
      </c>
      <c r="C14" s="8" t="n">
        <f aca="false">SUM(C2:C13)</f>
        <v>4631</v>
      </c>
      <c r="F14" s="8" t="n">
        <f aca="false">SUM(F2:F13)</f>
        <v>650637.91</v>
      </c>
      <c r="G14" s="8" t="n">
        <f aca="false">SUM(G2:G13)</f>
        <v>601124.38</v>
      </c>
      <c r="H14" s="8" t="n">
        <f aca="false">SUM(H2:H13)</f>
        <v>49513.53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2026-08-20T07:40:57Z</dcterms:created>
  <dc:creator>openpyxl</dc:creator>
  <dc:description/>
  <dc:language>en-US</dc:language>
  <cp:lastModifiedBy/>
  <dcterms:modified xsi:type="dcterms:W3CDTF">2026-08-20T07:40:57Z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