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rvest Records" sheetId="1" state="visible" r:id="rId3"/>
    <sheet name="Summary by Cro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<sst xmlns="http://schemas.openxmlformats.org/spreadsheetml/2006/main" count="154" uniqueCount="43">
  <si>
    <t xml:space="preserve">No</t>
  </si>
  <si>
    <t xml:space="preserve">Crop</t>
  </si>
  <si>
    <t xml:space="preserve">Variety</t>
  </si>
  <si>
    <t xml:space="preserve">Planting Date</t>
  </si>
  <si>
    <t xml:space="preserve">Est. Harvest Date</t>
  </si>
  <si>
    <t xml:space="preserve">Actual Harvest Date</t>
  </si>
  <si>
    <t xml:space="preserve">Quantity Harvested</t>
  </si>
  <si>
    <t xml:space="preserve">Unit</t>
  </si>
  <si>
    <t xml:space="preserve">Price per Unit (LKR)</t>
  </si>
  <si>
    <t xml:space="preserve">Total Revenue (LKR)</t>
  </si>
  <si>
    <t xml:space="preserve">Paddy</t>
  </si>
  <si>
    <t xml:space="preserve">BG 250</t>
  </si>
  <si>
    <t xml:space="preserve">kg</t>
  </si>
  <si>
    <t xml:space="preserve">BG 300 (Improved)</t>
  </si>
  <si>
    <t xml:space="preserve">BW 372</t>
  </si>
  <si>
    <t xml:space="preserve">Tomato</t>
  </si>
  <si>
    <t xml:space="preserve">Thilina F1</t>
  </si>
  <si>
    <t xml:space="preserve">Brinjal</t>
  </si>
  <si>
    <t xml:space="preserve">Local Long Purple</t>
  </si>
  <si>
    <t xml:space="preserve">Beans</t>
  </si>
  <si>
    <t xml:space="preserve">Bush Bean (Local)</t>
  </si>
  <si>
    <t xml:space="preserve">Ladies Finger</t>
  </si>
  <si>
    <t xml:space="preserve">Haritha</t>
  </si>
  <si>
    <t xml:space="preserve">Corn</t>
  </si>
  <si>
    <t xml:space="preserve">Pacific 11 (Hybrid)</t>
  </si>
  <si>
    <t xml:space="preserve">Green Chilli</t>
  </si>
  <si>
    <t xml:space="preserve">MI-2</t>
  </si>
  <si>
    <t xml:space="preserve">Turmeric</t>
  </si>
  <si>
    <t xml:space="preserve">Local (Ranga)</t>
  </si>
  <si>
    <t xml:space="preserve">Papaya</t>
  </si>
  <si>
    <t xml:space="preserve">Red Lady</t>
  </si>
  <si>
    <t xml:space="preserve">Mango</t>
  </si>
  <si>
    <t xml:space="preserve">Tommy Atkins / Willard (Karutha Colomban)</t>
  </si>
  <si>
    <t xml:space="preserve">Coconut</t>
  </si>
  <si>
    <t xml:space="preserve">Tall x Tall (CRIC 60)</t>
  </si>
  <si>
    <t xml:space="preserve">nuts</t>
  </si>
  <si>
    <t xml:space="preserve">Lemon</t>
  </si>
  <si>
    <t xml:space="preserve">Local Thick-skinned (Dehi)</t>
  </si>
  <si>
    <t xml:space="preserve">TOTAL</t>
  </si>
  <si>
    <t xml:space="preserve">Note: Quantity Harvested and Price per Unit are estimated figures scaled to a small home/demo farm plot (roughly 30-300 units per batch), using approximate 2024-2026 Sri Lankan farmgate/wholesale price ranges (LKR). Coconut is priced per nut, not per kg. Adjust these two columns with your own figures if you have real data - Total Revenue recalculates automatically.</t>
  </si>
  <si>
    <t xml:space="preserve">No. of Batches</t>
  </si>
  <si>
    <t xml:space="preserve">Total Quantity Harvested</t>
  </si>
  <si>
    <t xml:space="preserve">Avg. Price per Unit (LKR)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</si>
</sst>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.00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5C3B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C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</v>
      </c>
      <c r="B2" s="3" t="s">
        <v>10</v>
      </c>
      <c r="C2" s="3" t="s">
        <v>11</v>
      </c>
      <c r="D2" s="4" t="n">
        <v>45570</v>
      </c>
      <c r="E2" s="4" t="n">
        <v>45690</v>
      </c>
      <c r="F2" s="4" t="n">
        <v>45691</v>
      </c>
      <c r="G2" s="2" t="n">
        <v>202</v>
      </c>
      <c r="H2" s="2" t="s">
        <v>12</v>
      </c>
      <c r="I2" s="5" t="n">
        <v>127.91</v>
      </c>
      <c r="J2" s="5" t="n">
        <f aca="false">G2*I2</f>
        <v>25837.82</v>
      </c>
    </row>
    <row r="3" customFormat="false" ht="15" hidden="false" customHeight="false" outlineLevel="0" collapsed="false">
      <c r="A3" s="2" t="n">
        <v>2</v>
      </c>
      <c r="B3" s="3" t="s">
        <v>10</v>
      </c>
      <c r="C3" s="3" t="s">
        <v>13</v>
      </c>
      <c r="D3" s="4" t="n">
        <v>45785</v>
      </c>
      <c r="E3" s="4" t="n">
        <v>45905</v>
      </c>
      <c r="F3" s="4" t="n">
        <v>45906</v>
      </c>
      <c r="G3" s="2" t="n">
        <v>221</v>
      </c>
      <c r="H3" s="2" t="s">
        <v>12</v>
      </c>
      <c r="I3" s="5" t="n">
        <v>116.04</v>
      </c>
      <c r="J3" s="5" t="n">
        <f aca="false">G3*I3</f>
        <v>25644.84</v>
      </c>
    </row>
    <row r="4" customFormat="false" ht="15" hidden="false" customHeight="false" outlineLevel="0" collapsed="false">
      <c r="A4" s="2" t="n">
        <v>3</v>
      </c>
      <c r="B4" s="3" t="s">
        <v>10</v>
      </c>
      <c r="C4" s="3" t="s">
        <v>11</v>
      </c>
      <c r="D4" s="4" t="n">
        <v>45942</v>
      </c>
      <c r="E4" s="4" t="n">
        <v>46062</v>
      </c>
      <c r="F4" s="4" t="n">
        <v>46063</v>
      </c>
      <c r="G4" s="2" t="n">
        <v>138</v>
      </c>
      <c r="H4" s="2" t="s">
        <v>12</v>
      </c>
      <c r="I4" s="5" t="n">
        <v>122.85</v>
      </c>
      <c r="J4" s="5" t="n">
        <f aca="false">G4*I4</f>
        <v>16953.3</v>
      </c>
    </row>
    <row r="5" customFormat="false" ht="15" hidden="false" customHeight="false" outlineLevel="0" collapsed="false">
      <c r="A5" s="2" t="n">
        <v>4</v>
      </c>
      <c r="B5" s="3" t="s">
        <v>10</v>
      </c>
      <c r="C5" s="3" t="s">
        <v>14</v>
      </c>
      <c r="D5" s="4" t="n">
        <v>45426</v>
      </c>
      <c r="E5" s="4" t="n">
        <v>45546</v>
      </c>
      <c r="F5" s="4" t="n">
        <v>45549</v>
      </c>
      <c r="G5" s="2" t="n">
        <v>144</v>
      </c>
      <c r="H5" s="2" t="s">
        <v>12</v>
      </c>
      <c r="I5" s="5" t="n">
        <v>104.63</v>
      </c>
      <c r="J5" s="5" t="n">
        <f aca="false">G5*I5</f>
        <v>15066.72</v>
      </c>
    </row>
    <row r="6" customFormat="false" ht="15" hidden="false" customHeight="false" outlineLevel="0" collapsed="false">
      <c r="A6" s="2" t="n">
        <v>5</v>
      </c>
      <c r="B6" s="3" t="s">
        <v>10</v>
      </c>
      <c r="C6" s="3" t="s">
        <v>11</v>
      </c>
      <c r="D6" s="4" t="n">
        <v>45573</v>
      </c>
      <c r="E6" s="4" t="n">
        <v>45693</v>
      </c>
      <c r="F6" s="4" t="n">
        <v>45688</v>
      </c>
      <c r="G6" s="2" t="n">
        <v>134</v>
      </c>
      <c r="H6" s="2" t="s">
        <v>12</v>
      </c>
      <c r="I6" s="5" t="n">
        <v>126.39</v>
      </c>
      <c r="J6" s="5" t="n">
        <f aca="false">G6*I6</f>
        <v>16936.26</v>
      </c>
    </row>
    <row r="7" customFormat="false" ht="15" hidden="false" customHeight="false" outlineLevel="0" collapsed="false">
      <c r="A7" s="2" t="n">
        <v>6</v>
      </c>
      <c r="B7" s="3" t="s">
        <v>10</v>
      </c>
      <c r="C7" s="3" t="s">
        <v>14</v>
      </c>
      <c r="D7" s="4" t="n">
        <v>45789</v>
      </c>
      <c r="E7" s="4" t="n">
        <v>45909</v>
      </c>
      <c r="F7" s="4" t="n">
        <v>45914</v>
      </c>
      <c r="G7" s="2" t="n">
        <v>174</v>
      </c>
      <c r="H7" s="2" t="s">
        <v>12</v>
      </c>
      <c r="I7" s="5" t="n">
        <v>91.5</v>
      </c>
      <c r="J7" s="5" t="n">
        <f aca="false">G7*I7</f>
        <v>15921</v>
      </c>
    </row>
    <row r="8" customFormat="false" ht="15" hidden="false" customHeight="false" outlineLevel="0" collapsed="false">
      <c r="A8" s="2" t="n">
        <v>7</v>
      </c>
      <c r="B8" s="3" t="s">
        <v>10</v>
      </c>
      <c r="C8" s="3" t="s">
        <v>11</v>
      </c>
      <c r="D8" s="4" t="n">
        <v>45945</v>
      </c>
      <c r="E8" s="4" t="n">
        <v>46065</v>
      </c>
      <c r="F8" s="4" t="n">
        <v>46065</v>
      </c>
      <c r="G8" s="2" t="n">
        <v>231</v>
      </c>
      <c r="H8" s="2" t="s">
        <v>12</v>
      </c>
      <c r="I8" s="5" t="n">
        <v>106.73</v>
      </c>
      <c r="J8" s="5" t="n">
        <f aca="false">G8*I8</f>
        <v>24654.63</v>
      </c>
    </row>
    <row r="9" customFormat="false" ht="15" hidden="false" customHeight="false" outlineLevel="0" collapsed="false">
      <c r="A9" s="2" t="n">
        <v>8</v>
      </c>
      <c r="B9" s="3" t="s">
        <v>15</v>
      </c>
      <c r="C9" s="3" t="s">
        <v>16</v>
      </c>
      <c r="D9" s="4" t="n">
        <v>45306</v>
      </c>
      <c r="E9" s="4" t="n">
        <v>45396</v>
      </c>
      <c r="F9" s="4" t="n">
        <v>45399</v>
      </c>
      <c r="G9" s="2" t="n">
        <v>110</v>
      </c>
      <c r="H9" s="2" t="s">
        <v>12</v>
      </c>
      <c r="I9" s="5" t="n">
        <v>69.07</v>
      </c>
      <c r="J9" s="5" t="n">
        <f aca="false">G9*I9</f>
        <v>7597.7</v>
      </c>
    </row>
    <row r="10" customFormat="false" ht="15" hidden="false" customHeight="false" outlineLevel="0" collapsed="false">
      <c r="A10" s="2" t="n">
        <v>9</v>
      </c>
      <c r="B10" s="3" t="s">
        <v>17</v>
      </c>
      <c r="C10" s="3" t="s">
        <v>18</v>
      </c>
      <c r="D10" s="4" t="n">
        <v>45417</v>
      </c>
      <c r="E10" s="4" t="n">
        <v>45517</v>
      </c>
      <c r="F10" s="4" t="n">
        <v>45520</v>
      </c>
      <c r="G10" s="2" t="n">
        <v>114</v>
      </c>
      <c r="H10" s="2" t="s">
        <v>12</v>
      </c>
      <c r="I10" s="5" t="n">
        <v>84.14</v>
      </c>
      <c r="J10" s="5" t="n">
        <f aca="false">G10*I10</f>
        <v>9591.96</v>
      </c>
    </row>
    <row r="11" customFormat="false" ht="15" hidden="false" customHeight="false" outlineLevel="0" collapsed="false">
      <c r="A11" s="2" t="n">
        <v>10</v>
      </c>
      <c r="B11" s="3" t="s">
        <v>15</v>
      </c>
      <c r="C11" s="3" t="s">
        <v>16</v>
      </c>
      <c r="D11" s="4" t="n">
        <v>45566</v>
      </c>
      <c r="E11" s="4" t="n">
        <v>45656</v>
      </c>
      <c r="F11" s="4" t="n">
        <v>45651</v>
      </c>
      <c r="G11" s="2" t="n">
        <v>152</v>
      </c>
      <c r="H11" s="2" t="s">
        <v>12</v>
      </c>
      <c r="I11" s="5" t="n">
        <v>72.38</v>
      </c>
      <c r="J11" s="5" t="n">
        <f aca="false">G11*I11</f>
        <v>11001.76</v>
      </c>
    </row>
    <row r="12" customFormat="false" ht="15" hidden="false" customHeight="false" outlineLevel="0" collapsed="false">
      <c r="A12" s="2" t="n">
        <v>11</v>
      </c>
      <c r="B12" s="3" t="s">
        <v>17</v>
      </c>
      <c r="C12" s="3" t="s">
        <v>18</v>
      </c>
      <c r="D12" s="4" t="n">
        <v>45698</v>
      </c>
      <c r="E12" s="4" t="n">
        <v>45798</v>
      </c>
      <c r="F12" s="4" t="n">
        <v>45794</v>
      </c>
      <c r="G12" s="2" t="n">
        <v>88</v>
      </c>
      <c r="H12" s="2" t="s">
        <v>12</v>
      </c>
      <c r="I12" s="5" t="n">
        <v>124.14</v>
      </c>
      <c r="J12" s="5" t="n">
        <f aca="false">G12*I12</f>
        <v>10924.32</v>
      </c>
    </row>
    <row r="13" customFormat="false" ht="15" hidden="false" customHeight="false" outlineLevel="0" collapsed="false">
      <c r="A13" s="2" t="n">
        <v>12</v>
      </c>
      <c r="B13" s="3" t="s">
        <v>15</v>
      </c>
      <c r="C13" s="3" t="s">
        <v>16</v>
      </c>
      <c r="D13" s="4" t="n">
        <v>45843</v>
      </c>
      <c r="E13" s="4" t="n">
        <v>45933</v>
      </c>
      <c r="F13" s="4" t="n">
        <v>45927</v>
      </c>
      <c r="G13" s="2" t="n">
        <v>154</v>
      </c>
      <c r="H13" s="2" t="s">
        <v>12</v>
      </c>
      <c r="I13" s="5" t="n">
        <v>154.77</v>
      </c>
      <c r="J13" s="5" t="n">
        <f aca="false">G13*I13</f>
        <v>23834.58</v>
      </c>
    </row>
    <row r="14" customFormat="false" ht="15" hidden="false" customHeight="false" outlineLevel="0" collapsed="false">
      <c r="A14" s="2" t="n">
        <v>13</v>
      </c>
      <c r="B14" s="3" t="s">
        <v>17</v>
      </c>
      <c r="C14" s="3" t="s">
        <v>18</v>
      </c>
      <c r="D14" s="4" t="n">
        <v>45962</v>
      </c>
      <c r="E14" s="4" t="n">
        <v>46062</v>
      </c>
      <c r="F14" s="4" t="n">
        <v>46060</v>
      </c>
      <c r="G14" s="2" t="n">
        <v>133</v>
      </c>
      <c r="H14" s="2" t="s">
        <v>12</v>
      </c>
      <c r="I14" s="5" t="n">
        <v>120.99</v>
      </c>
      <c r="J14" s="5" t="n">
        <f aca="false">G14*I14</f>
        <v>16091.67</v>
      </c>
    </row>
    <row r="15" customFormat="false" ht="15" hidden="false" customHeight="false" outlineLevel="0" collapsed="false">
      <c r="A15" s="2" t="n">
        <v>14</v>
      </c>
      <c r="B15" s="3" t="s">
        <v>19</v>
      </c>
      <c r="C15" s="3" t="s">
        <v>20</v>
      </c>
      <c r="D15" s="4" t="n">
        <v>45311</v>
      </c>
      <c r="E15" s="4" t="n">
        <v>45371</v>
      </c>
      <c r="F15" s="4" t="n">
        <v>45375</v>
      </c>
      <c r="G15" s="2" t="n">
        <v>43</v>
      </c>
      <c r="H15" s="2" t="s">
        <v>12</v>
      </c>
      <c r="I15" s="5" t="n">
        <v>257.63</v>
      </c>
      <c r="J15" s="5" t="n">
        <f aca="false">G15*I15</f>
        <v>11078.09</v>
      </c>
    </row>
    <row r="16" customFormat="false" ht="15" hidden="false" customHeight="false" outlineLevel="0" collapsed="false">
      <c r="A16" s="2" t="n">
        <v>15</v>
      </c>
      <c r="B16" s="3" t="s">
        <v>21</v>
      </c>
      <c r="C16" s="3" t="s">
        <v>22</v>
      </c>
      <c r="D16" s="4" t="n">
        <v>45392</v>
      </c>
      <c r="E16" s="4" t="n">
        <v>45452</v>
      </c>
      <c r="F16" s="4" t="n">
        <v>45450</v>
      </c>
      <c r="G16" s="2" t="n">
        <v>47</v>
      </c>
      <c r="H16" s="2" t="s">
        <v>12</v>
      </c>
      <c r="I16" s="5" t="n">
        <v>154.53</v>
      </c>
      <c r="J16" s="5" t="n">
        <f aca="false">G16*I16</f>
        <v>7262.91</v>
      </c>
    </row>
    <row r="17" customFormat="false" ht="15" hidden="false" customHeight="false" outlineLevel="0" collapsed="false">
      <c r="A17" s="2" t="n">
        <v>16</v>
      </c>
      <c r="B17" s="3" t="s">
        <v>19</v>
      </c>
      <c r="C17" s="3" t="s">
        <v>20</v>
      </c>
      <c r="D17" s="4" t="n">
        <v>45509</v>
      </c>
      <c r="E17" s="4" t="n">
        <v>45569</v>
      </c>
      <c r="F17" s="4" t="n">
        <v>45576</v>
      </c>
      <c r="G17" s="2" t="n">
        <v>48</v>
      </c>
      <c r="H17" s="2" t="s">
        <v>12</v>
      </c>
      <c r="I17" s="5" t="n">
        <v>188.96</v>
      </c>
      <c r="J17" s="5" t="n">
        <f aca="false">G17*I17</f>
        <v>9070.08</v>
      </c>
    </row>
    <row r="18" customFormat="false" ht="15" hidden="false" customHeight="false" outlineLevel="0" collapsed="false">
      <c r="A18" s="2" t="n">
        <v>17</v>
      </c>
      <c r="B18" s="3" t="s">
        <v>21</v>
      </c>
      <c r="C18" s="3" t="s">
        <v>22</v>
      </c>
      <c r="D18" s="4" t="n">
        <v>45601</v>
      </c>
      <c r="E18" s="4" t="n">
        <v>45661</v>
      </c>
      <c r="F18" s="4" t="n">
        <v>45661</v>
      </c>
      <c r="G18" s="2" t="n">
        <v>54</v>
      </c>
      <c r="H18" s="2" t="s">
        <v>12</v>
      </c>
      <c r="I18" s="5" t="n">
        <v>153.25</v>
      </c>
      <c r="J18" s="5" t="n">
        <f aca="false">G18*I18</f>
        <v>8275.5</v>
      </c>
    </row>
    <row r="19" customFormat="false" ht="15" hidden="false" customHeight="false" outlineLevel="0" collapsed="false">
      <c r="A19" s="2" t="n">
        <v>18</v>
      </c>
      <c r="B19" s="3" t="s">
        <v>19</v>
      </c>
      <c r="C19" s="3" t="s">
        <v>20</v>
      </c>
      <c r="D19" s="4" t="n">
        <v>45721</v>
      </c>
      <c r="E19" s="4" t="n">
        <v>45781</v>
      </c>
      <c r="F19" s="4" t="n">
        <v>45780</v>
      </c>
      <c r="G19" s="2" t="n">
        <v>76</v>
      </c>
      <c r="H19" s="2" t="s">
        <v>12</v>
      </c>
      <c r="I19" s="5" t="n">
        <v>190.85</v>
      </c>
      <c r="J19" s="5" t="n">
        <f aca="false">G19*I19</f>
        <v>14504.6</v>
      </c>
    </row>
    <row r="20" customFormat="false" ht="15" hidden="false" customHeight="false" outlineLevel="0" collapsed="false">
      <c r="A20" s="2" t="n">
        <v>19</v>
      </c>
      <c r="B20" s="3" t="s">
        <v>10</v>
      </c>
      <c r="C20" s="3" t="s">
        <v>13</v>
      </c>
      <c r="D20" s="4" t="n">
        <v>45422</v>
      </c>
      <c r="E20" s="4" t="n">
        <v>45542</v>
      </c>
      <c r="F20" s="4" t="n">
        <v>45549</v>
      </c>
      <c r="G20" s="2" t="n">
        <v>166</v>
      </c>
      <c r="H20" s="2" t="s">
        <v>12</v>
      </c>
      <c r="I20" s="5" t="n">
        <v>94.12</v>
      </c>
      <c r="J20" s="5" t="n">
        <f aca="false">G20*I20</f>
        <v>15623.92</v>
      </c>
    </row>
    <row r="21" customFormat="false" ht="15" hidden="false" customHeight="false" outlineLevel="0" collapsed="false">
      <c r="A21" s="2" t="n">
        <v>20</v>
      </c>
      <c r="B21" s="3" t="s">
        <v>19</v>
      </c>
      <c r="C21" s="3" t="s">
        <v>20</v>
      </c>
      <c r="D21" s="4" t="n">
        <v>45950</v>
      </c>
      <c r="E21" s="4" t="n">
        <v>46010</v>
      </c>
      <c r="F21" s="4" t="n">
        <v>46011</v>
      </c>
      <c r="G21" s="2" t="n">
        <v>76</v>
      </c>
      <c r="H21" s="2" t="s">
        <v>12</v>
      </c>
      <c r="I21" s="5" t="n">
        <v>223.89</v>
      </c>
      <c r="J21" s="5" t="n">
        <f aca="false">G21*I21</f>
        <v>17015.64</v>
      </c>
    </row>
    <row r="22" customFormat="false" ht="15" hidden="false" customHeight="false" outlineLevel="0" collapsed="false">
      <c r="A22" s="2" t="n">
        <v>21</v>
      </c>
      <c r="B22" s="3" t="s">
        <v>23</v>
      </c>
      <c r="C22" s="3" t="s">
        <v>24</v>
      </c>
      <c r="D22" s="4" t="n">
        <v>45316</v>
      </c>
      <c r="E22" s="4" t="n">
        <v>45416</v>
      </c>
      <c r="F22" s="4" t="n">
        <v>45410</v>
      </c>
      <c r="G22" s="2" t="n">
        <v>147</v>
      </c>
      <c r="H22" s="2" t="s">
        <v>12</v>
      </c>
      <c r="I22" s="5" t="n">
        <v>63.41</v>
      </c>
      <c r="J22" s="5" t="n">
        <f aca="false">G22*I22</f>
        <v>9321.27</v>
      </c>
    </row>
    <row r="23" customFormat="false" ht="15" hidden="false" customHeight="false" outlineLevel="0" collapsed="false">
      <c r="A23" s="2" t="n">
        <v>22</v>
      </c>
      <c r="B23" s="3" t="s">
        <v>25</v>
      </c>
      <c r="C23" s="3" t="s">
        <v>26</v>
      </c>
      <c r="D23" s="4" t="n">
        <v>45422</v>
      </c>
      <c r="E23" s="4" t="n">
        <v>45512</v>
      </c>
      <c r="F23" s="4" t="n">
        <v>45507</v>
      </c>
      <c r="G23" s="2" t="n">
        <v>80</v>
      </c>
      <c r="H23" s="2" t="s">
        <v>12</v>
      </c>
      <c r="I23" s="5" t="n">
        <v>228.79</v>
      </c>
      <c r="J23" s="5" t="n">
        <f aca="false">G23*I23</f>
        <v>18303.2</v>
      </c>
    </row>
    <row r="24" customFormat="false" ht="15" hidden="false" customHeight="false" outlineLevel="0" collapsed="false">
      <c r="A24" s="2" t="n">
        <v>23</v>
      </c>
      <c r="B24" s="3" t="s">
        <v>23</v>
      </c>
      <c r="C24" s="3" t="s">
        <v>24</v>
      </c>
      <c r="D24" s="4" t="n">
        <v>45575</v>
      </c>
      <c r="E24" s="4" t="n">
        <v>45675</v>
      </c>
      <c r="F24" s="4" t="n">
        <v>45674</v>
      </c>
      <c r="G24" s="2" t="n">
        <v>107</v>
      </c>
      <c r="H24" s="2" t="s">
        <v>12</v>
      </c>
      <c r="I24" s="5" t="n">
        <v>81.67</v>
      </c>
      <c r="J24" s="5" t="n">
        <f aca="false">G24*I24</f>
        <v>8738.69</v>
      </c>
    </row>
    <row r="25" customFormat="false" ht="15" hidden="false" customHeight="false" outlineLevel="0" collapsed="false">
      <c r="A25" s="2" t="n">
        <v>24</v>
      </c>
      <c r="B25" s="3" t="s">
        <v>25</v>
      </c>
      <c r="C25" s="3" t="s">
        <v>26</v>
      </c>
      <c r="D25" s="4" t="n">
        <v>45693</v>
      </c>
      <c r="E25" s="4" t="n">
        <v>45783</v>
      </c>
      <c r="F25" s="4" t="n">
        <v>45779</v>
      </c>
      <c r="G25" s="2" t="n">
        <v>66</v>
      </c>
      <c r="H25" s="2" t="s">
        <v>12</v>
      </c>
      <c r="I25" s="5" t="n">
        <v>315.26</v>
      </c>
      <c r="J25" s="5" t="n">
        <f aca="false">G25*I25</f>
        <v>20807.16</v>
      </c>
    </row>
    <row r="26" customFormat="false" ht="15" hidden="false" customHeight="false" outlineLevel="0" collapsed="false">
      <c r="A26" s="2" t="n">
        <v>25</v>
      </c>
      <c r="B26" s="3" t="s">
        <v>23</v>
      </c>
      <c r="C26" s="3" t="s">
        <v>24</v>
      </c>
      <c r="D26" s="4" t="n">
        <v>45846</v>
      </c>
      <c r="E26" s="4" t="n">
        <v>45946</v>
      </c>
      <c r="F26" s="4" t="n">
        <v>45952</v>
      </c>
      <c r="G26" s="2" t="n">
        <v>154</v>
      </c>
      <c r="H26" s="2" t="s">
        <v>12</v>
      </c>
      <c r="I26" s="5" t="n">
        <v>87.2</v>
      </c>
      <c r="J26" s="5" t="n">
        <f aca="false">G26*I26</f>
        <v>13428.8</v>
      </c>
    </row>
    <row r="27" customFormat="false" ht="15" hidden="false" customHeight="false" outlineLevel="0" collapsed="false">
      <c r="A27" s="2" t="n">
        <v>26</v>
      </c>
      <c r="B27" s="3" t="s">
        <v>25</v>
      </c>
      <c r="C27" s="3" t="s">
        <v>26</v>
      </c>
      <c r="D27" s="4" t="n">
        <v>45971</v>
      </c>
      <c r="E27" s="4" t="n">
        <v>46061</v>
      </c>
      <c r="F27" s="4" t="n">
        <v>46059</v>
      </c>
      <c r="G27" s="2" t="n">
        <v>64</v>
      </c>
      <c r="H27" s="2" t="s">
        <v>12</v>
      </c>
      <c r="I27" s="5" t="n">
        <v>301.98</v>
      </c>
      <c r="J27" s="5" t="n">
        <f aca="false">G27*I27</f>
        <v>19326.72</v>
      </c>
    </row>
    <row r="28" customFormat="false" ht="15" hidden="false" customHeight="false" outlineLevel="0" collapsed="false">
      <c r="A28" s="2" t="n">
        <v>27</v>
      </c>
      <c r="B28" s="3" t="s">
        <v>27</v>
      </c>
      <c r="C28" s="3" t="s">
        <v>28</v>
      </c>
      <c r="D28" s="4" t="n">
        <v>45397</v>
      </c>
      <c r="E28" s="4" t="n">
        <v>45667</v>
      </c>
      <c r="F28" s="4" t="n">
        <v>45672</v>
      </c>
      <c r="G28" s="2" t="n">
        <v>79</v>
      </c>
      <c r="H28" s="2" t="s">
        <v>12</v>
      </c>
      <c r="I28" s="5" t="n">
        <v>370.62</v>
      </c>
      <c r="J28" s="5" t="n">
        <f aca="false">G28*I28</f>
        <v>29278.98</v>
      </c>
    </row>
    <row r="29" customFormat="false" ht="15" hidden="false" customHeight="false" outlineLevel="0" collapsed="false">
      <c r="A29" s="2" t="n">
        <v>28</v>
      </c>
      <c r="B29" s="3" t="s">
        <v>27</v>
      </c>
      <c r="C29" s="3" t="s">
        <v>28</v>
      </c>
      <c r="D29" s="4" t="n">
        <v>45726</v>
      </c>
      <c r="E29" s="4" t="n">
        <v>45996</v>
      </c>
      <c r="F29" s="4" t="n">
        <v>45998</v>
      </c>
      <c r="G29" s="2" t="n">
        <v>65</v>
      </c>
      <c r="H29" s="2" t="s">
        <v>12</v>
      </c>
      <c r="I29" s="5" t="n">
        <v>431.21</v>
      </c>
      <c r="J29" s="5" t="n">
        <f aca="false">G29*I29</f>
        <v>28028.65</v>
      </c>
    </row>
    <row r="30" customFormat="false" ht="15" hidden="false" customHeight="false" outlineLevel="0" collapsed="false">
      <c r="A30" s="2" t="n">
        <v>29</v>
      </c>
      <c r="B30" s="3" t="s">
        <v>29</v>
      </c>
      <c r="C30" s="3" t="s">
        <v>30</v>
      </c>
      <c r="D30" s="4" t="n">
        <v>45334</v>
      </c>
      <c r="E30" s="4" t="n">
        <v>45604</v>
      </c>
      <c r="F30" s="4" t="n">
        <v>45607</v>
      </c>
      <c r="G30" s="2" t="n">
        <v>219</v>
      </c>
      <c r="H30" s="2" t="s">
        <v>12</v>
      </c>
      <c r="I30" s="5" t="n">
        <v>110.09</v>
      </c>
      <c r="J30" s="5" t="n">
        <f aca="false">G30*I30</f>
        <v>24109.71</v>
      </c>
    </row>
    <row r="31" customFormat="false" ht="15" hidden="false" customHeight="false" outlineLevel="0" collapsed="false">
      <c r="A31" s="2" t="n">
        <v>30</v>
      </c>
      <c r="B31" s="3" t="s">
        <v>29</v>
      </c>
      <c r="C31" s="3" t="s">
        <v>30</v>
      </c>
      <c r="D31" s="4" t="n">
        <v>45334</v>
      </c>
      <c r="E31" s="4" t="n">
        <v>45604</v>
      </c>
      <c r="F31" s="4" t="n">
        <v>45604</v>
      </c>
      <c r="G31" s="2" t="n">
        <v>140</v>
      </c>
      <c r="H31" s="2" t="s">
        <v>12</v>
      </c>
      <c r="I31" s="5" t="n">
        <v>100.85</v>
      </c>
      <c r="J31" s="5" t="n">
        <f aca="false">G31*I31</f>
        <v>14119</v>
      </c>
    </row>
    <row r="32" customFormat="false" ht="15" hidden="false" customHeight="false" outlineLevel="0" collapsed="false">
      <c r="A32" s="2" t="n">
        <v>31</v>
      </c>
      <c r="B32" s="3" t="s">
        <v>31</v>
      </c>
      <c r="C32" s="3" t="s">
        <v>32</v>
      </c>
      <c r="D32" s="4" t="n">
        <v>43252</v>
      </c>
      <c r="E32" s="4" t="n">
        <v>44347</v>
      </c>
      <c r="F32" s="4" t="n">
        <v>44348</v>
      </c>
      <c r="G32" s="2" t="n">
        <v>157</v>
      </c>
      <c r="H32" s="2" t="s">
        <v>12</v>
      </c>
      <c r="I32" s="5" t="n">
        <v>214.56</v>
      </c>
      <c r="J32" s="5" t="n">
        <f aca="false">G32*I32</f>
        <v>33685.92</v>
      </c>
    </row>
    <row r="33" customFormat="false" ht="15" hidden="false" customHeight="false" outlineLevel="0" collapsed="false">
      <c r="A33" s="2" t="n">
        <v>32</v>
      </c>
      <c r="B33" s="3" t="s">
        <v>31</v>
      </c>
      <c r="C33" s="3" t="s">
        <v>32</v>
      </c>
      <c r="D33" s="4" t="n">
        <v>43252</v>
      </c>
      <c r="E33" s="4" t="n">
        <v>44347</v>
      </c>
      <c r="F33" s="4" t="n">
        <v>44344</v>
      </c>
      <c r="G33" s="2" t="n">
        <v>133</v>
      </c>
      <c r="H33" s="2" t="s">
        <v>12</v>
      </c>
      <c r="I33" s="5" t="n">
        <v>235.65</v>
      </c>
      <c r="J33" s="5" t="n">
        <f aca="false">G33*I33</f>
        <v>31341.45</v>
      </c>
    </row>
    <row r="34" customFormat="false" ht="15" hidden="false" customHeight="false" outlineLevel="0" collapsed="false">
      <c r="A34" s="2" t="n">
        <v>33</v>
      </c>
      <c r="B34" s="3" t="s">
        <v>33</v>
      </c>
      <c r="C34" s="3" t="s">
        <v>34</v>
      </c>
      <c r="D34" s="4" t="n">
        <v>42248</v>
      </c>
      <c r="E34" s="4" t="n">
        <v>44073</v>
      </c>
      <c r="F34" s="4" t="n">
        <v>44067</v>
      </c>
      <c r="G34" s="2" t="n">
        <v>253</v>
      </c>
      <c r="H34" s="2" t="s">
        <v>35</v>
      </c>
      <c r="I34" s="5" t="n">
        <v>108.27</v>
      </c>
      <c r="J34" s="5" t="n">
        <f aca="false">G34*I34</f>
        <v>27392.31</v>
      </c>
    </row>
    <row r="35" customFormat="false" ht="15" hidden="false" customHeight="false" outlineLevel="0" collapsed="false">
      <c r="A35" s="2" t="n">
        <v>34</v>
      </c>
      <c r="B35" s="3" t="s">
        <v>33</v>
      </c>
      <c r="C35" s="3" t="s">
        <v>34</v>
      </c>
      <c r="D35" s="4" t="n">
        <v>42248</v>
      </c>
      <c r="E35" s="4" t="n">
        <v>44073</v>
      </c>
      <c r="F35" s="4" t="n">
        <v>44072</v>
      </c>
      <c r="G35" s="2" t="n">
        <v>198</v>
      </c>
      <c r="H35" s="2" t="s">
        <v>35</v>
      </c>
      <c r="I35" s="5" t="n">
        <v>93.54</v>
      </c>
      <c r="J35" s="5" t="n">
        <f aca="false">G35*I35</f>
        <v>18520.92</v>
      </c>
    </row>
    <row r="36" customFormat="false" ht="15" hidden="false" customHeight="false" outlineLevel="0" collapsed="false">
      <c r="A36" s="2" t="n">
        <v>35</v>
      </c>
      <c r="B36" s="3" t="s">
        <v>36</v>
      </c>
      <c r="C36" s="3" t="s">
        <v>37</v>
      </c>
      <c r="D36" s="4" t="n">
        <v>44317</v>
      </c>
      <c r="E36" s="4" t="n">
        <v>45412</v>
      </c>
      <c r="F36" s="4" t="n">
        <v>45414</v>
      </c>
      <c r="G36" s="2" t="n">
        <v>66</v>
      </c>
      <c r="H36" s="2" t="s">
        <v>12</v>
      </c>
      <c r="I36" s="5" t="n">
        <v>191.45</v>
      </c>
      <c r="J36" s="5" t="n">
        <f aca="false">G36*I36</f>
        <v>12635.7</v>
      </c>
    </row>
    <row r="37" customFormat="false" ht="15" hidden="false" customHeight="false" outlineLevel="0" collapsed="false">
      <c r="A37" s="2" t="n">
        <v>36</v>
      </c>
      <c r="B37" s="3" t="s">
        <v>36</v>
      </c>
      <c r="C37" s="3" t="s">
        <v>37</v>
      </c>
      <c r="D37" s="4" t="n">
        <v>44317</v>
      </c>
      <c r="E37" s="4" t="n">
        <v>45412</v>
      </c>
      <c r="F37" s="4" t="n">
        <v>45409</v>
      </c>
      <c r="G37" s="2" t="n">
        <v>61</v>
      </c>
      <c r="H37" s="2" t="s">
        <v>12</v>
      </c>
      <c r="I37" s="5" t="n">
        <v>189.76</v>
      </c>
      <c r="J37" s="5" t="n">
        <f aca="false">G37*I37</f>
        <v>11575.36</v>
      </c>
    </row>
    <row r="38" customFormat="false" ht="15" hidden="false" customHeight="false" outlineLevel="0" collapsed="false">
      <c r="A38" s="2" t="n">
        <v>37</v>
      </c>
      <c r="B38" s="3" t="s">
        <v>21</v>
      </c>
      <c r="C38" s="3" t="s">
        <v>22</v>
      </c>
      <c r="D38" s="4" t="n">
        <v>45818</v>
      </c>
      <c r="E38" s="4" t="n">
        <v>45878</v>
      </c>
      <c r="F38" s="4" t="n">
        <v>45878</v>
      </c>
      <c r="G38" s="2" t="n">
        <v>76</v>
      </c>
      <c r="H38" s="2" t="s">
        <v>12</v>
      </c>
      <c r="I38" s="5" t="n">
        <v>143.74</v>
      </c>
      <c r="J38" s="5" t="n">
        <f aca="false">G38*I38</f>
        <v>10924.24</v>
      </c>
    </row>
    <row r="40" customFormat="false" ht="15" hidden="false" customHeight="false" outlineLevel="0" collapsed="false">
      <c r="F40" s="6" t="s">
        <v>38</v>
      </c>
      <c r="G40" s="7" t="n">
        <f aca="false">SUM(G2:G38)</f>
        <v>4570</v>
      </c>
      <c r="J40" s="8" t="n">
        <f aca="false">SUM(J2:J38)</f>
        <v>634425.38</v>
      </c>
    </row>
    <row r="42" customFormat="false" ht="45" hidden="false" customHeight="true" outlineLevel="0" collapsed="false">
      <c r="B42" s="9" t="s">
        <v>39</v>
      </c>
      <c r="C42" s="9"/>
      <c r="D42" s="9"/>
      <c r="E42" s="9"/>
      <c r="F42" s="9"/>
      <c r="G42" s="9"/>
      <c r="H42" s="9"/>
      <c r="I42" s="9"/>
      <c r="J42" s="9"/>
    </row>
  </sheetData>
  <mergeCells count="1">
    <mergeCell ref="B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18"/>
  </cols>
  <sheetData>
    <row r="1" customFormat="false" ht="30" hidden="false" customHeight="true" outlineLevel="0" collapsed="false">
      <c r="A1" s="1" t="s">
        <v>1</v>
      </c>
      <c r="B1" s="1" t="s">
        <v>40</v>
      </c>
      <c r="C1" s="1" t="s">
        <v>41</v>
      </c>
      <c r="D1" s="1" t="s">
        <v>7</v>
      </c>
      <c r="E1" s="1" t="s">
        <v>42</v>
      </c>
      <c r="F1" s="1" t="s">
        <v>9</v>
      </c>
    </row>
    <row r="2" customFormat="false" ht="15" hidden="false" customHeight="false" outlineLevel="0" collapsed="false">
      <c r="A2" s="3" t="s">
        <v>10</v>
      </c>
      <c r="B2" s="2" t="n">
        <f aca="false">COUNTIF('Harvest Records'!B:B,A2)</f>
        <v>8</v>
      </c>
      <c r="C2" s="2" t="n">
        <f aca="false">SUMIF('Harvest Records'!B:B,A2,'Harvest Records'!G:G)</f>
        <v>1410</v>
      </c>
      <c r="D2" s="2" t="s">
        <v>12</v>
      </c>
      <c r="E2" s="5" t="n">
        <f aca="false">IFERROR(SUMIF('Harvest Records'!B:B,A2,'Harvest Records'!J:J)/C2,0)</f>
        <v>111.091127659574</v>
      </c>
      <c r="F2" s="5" t="n">
        <f aca="false">SUMIF('Harvest Records'!B:B,A2,'Harvest Records'!J:J)</f>
        <v>156638.49</v>
      </c>
    </row>
    <row r="3" customFormat="false" ht="15" hidden="false" customHeight="false" outlineLevel="0" collapsed="false">
      <c r="A3" s="3" t="s">
        <v>15</v>
      </c>
      <c r="B3" s="2" t="n">
        <f aca="false">COUNTIF('Harvest Records'!B:B,A3)</f>
        <v>3</v>
      </c>
      <c r="C3" s="2" t="n">
        <f aca="false">SUMIF('Harvest Records'!B:B,A3,'Harvest Records'!G:G)</f>
        <v>416</v>
      </c>
      <c r="D3" s="2" t="s">
        <v>12</v>
      </c>
      <c r="E3" s="5" t="n">
        <f aca="false">IFERROR(SUMIF('Harvest Records'!B:B,A3,'Harvest Records'!J:J)/C3,0)</f>
        <v>102.004903846154</v>
      </c>
      <c r="F3" s="5" t="n">
        <f aca="false">SUMIF('Harvest Records'!B:B,A3,'Harvest Records'!J:J)</f>
        <v>42434.04</v>
      </c>
    </row>
    <row r="4" customFormat="false" ht="15" hidden="false" customHeight="false" outlineLevel="0" collapsed="false">
      <c r="A4" s="3" t="s">
        <v>17</v>
      </c>
      <c r="B4" s="2" t="n">
        <f aca="false">COUNTIF('Harvest Records'!B:B,A4)</f>
        <v>3</v>
      </c>
      <c r="C4" s="2" t="n">
        <f aca="false">SUMIF('Harvest Records'!B:B,A4,'Harvest Records'!G:G)</f>
        <v>335</v>
      </c>
      <c r="D4" s="2" t="s">
        <v>12</v>
      </c>
      <c r="E4" s="5" t="n">
        <f aca="false">IFERROR(SUMIF('Harvest Records'!B:B,A4,'Harvest Records'!J:J)/C4,0)</f>
        <v>109.277462686567</v>
      </c>
      <c r="F4" s="5" t="n">
        <f aca="false">SUMIF('Harvest Records'!B:B,A4,'Harvest Records'!J:J)</f>
        <v>36607.95</v>
      </c>
    </row>
    <row r="5" customFormat="false" ht="15" hidden="false" customHeight="false" outlineLevel="0" collapsed="false">
      <c r="A5" s="3" t="s">
        <v>19</v>
      </c>
      <c r="B5" s="2" t="n">
        <f aca="false">COUNTIF('Harvest Records'!B:B,A5)</f>
        <v>4</v>
      </c>
      <c r="C5" s="2" t="n">
        <f aca="false">SUMIF('Harvest Records'!B:B,A5,'Harvest Records'!G:G)</f>
        <v>243</v>
      </c>
      <c r="D5" s="2" t="s">
        <v>12</v>
      </c>
      <c r="E5" s="5" t="n">
        <f aca="false">IFERROR(SUMIF('Harvest Records'!B:B,A5,'Harvest Records'!J:J)/C5,0)</f>
        <v>212.627201646091</v>
      </c>
      <c r="F5" s="5" t="n">
        <f aca="false">SUMIF('Harvest Records'!B:B,A5,'Harvest Records'!J:J)</f>
        <v>51668.41</v>
      </c>
    </row>
    <row r="6" customFormat="false" ht="15" hidden="false" customHeight="false" outlineLevel="0" collapsed="false">
      <c r="A6" s="3" t="s">
        <v>21</v>
      </c>
      <c r="B6" s="2" t="n">
        <f aca="false">COUNTIF('Harvest Records'!B:B,A6)</f>
        <v>3</v>
      </c>
      <c r="C6" s="2" t="n">
        <f aca="false">SUMIF('Harvest Records'!B:B,A6,'Harvest Records'!G:G)</f>
        <v>177</v>
      </c>
      <c r="D6" s="2" t="s">
        <v>12</v>
      </c>
      <c r="E6" s="5" t="n">
        <f aca="false">IFERROR(SUMIF('Harvest Records'!B:B,A6,'Harvest Records'!J:J)/C6,0)</f>
        <v>149.506497175141</v>
      </c>
      <c r="F6" s="5" t="n">
        <f aca="false">SUMIF('Harvest Records'!B:B,A6,'Harvest Records'!J:J)</f>
        <v>26462.65</v>
      </c>
    </row>
    <row r="7" customFormat="false" ht="15" hidden="false" customHeight="false" outlineLevel="0" collapsed="false">
      <c r="A7" s="3" t="s">
        <v>23</v>
      </c>
      <c r="B7" s="2" t="n">
        <f aca="false">COUNTIF('Harvest Records'!B:B,A7)</f>
        <v>3</v>
      </c>
      <c r="C7" s="2" t="n">
        <f aca="false">SUMIF('Harvest Records'!B:B,A7,'Harvest Records'!G:G)</f>
        <v>408</v>
      </c>
      <c r="D7" s="2" t="s">
        <v>12</v>
      </c>
      <c r="E7" s="5" t="n">
        <f aca="false">IFERROR(SUMIF('Harvest Records'!B:B,A7,'Harvest Records'!J:J)/C7,0)</f>
        <v>77.1783333333333</v>
      </c>
      <c r="F7" s="5" t="n">
        <f aca="false">SUMIF('Harvest Records'!B:B,A7,'Harvest Records'!J:J)</f>
        <v>31488.76</v>
      </c>
    </row>
    <row r="8" customFormat="false" ht="15" hidden="false" customHeight="false" outlineLevel="0" collapsed="false">
      <c r="A8" s="3" t="s">
        <v>25</v>
      </c>
      <c r="B8" s="2" t="n">
        <f aca="false">COUNTIF('Harvest Records'!B:B,A8)</f>
        <v>3</v>
      </c>
      <c r="C8" s="2" t="n">
        <f aca="false">SUMIF('Harvest Records'!B:B,A8,'Harvest Records'!G:G)</f>
        <v>210</v>
      </c>
      <c r="D8" s="2" t="s">
        <v>12</v>
      </c>
      <c r="E8" s="5" t="n">
        <f aca="false">IFERROR(SUMIF('Harvest Records'!B:B,A8,'Harvest Records'!J:J)/C8,0)</f>
        <v>278.27180952381</v>
      </c>
      <c r="F8" s="5" t="n">
        <f aca="false">SUMIF('Harvest Records'!B:B,A8,'Harvest Records'!J:J)</f>
        <v>58437.08</v>
      </c>
    </row>
    <row r="9" customFormat="false" ht="15" hidden="false" customHeight="false" outlineLevel="0" collapsed="false">
      <c r="A9" s="3" t="s">
        <v>27</v>
      </c>
      <c r="B9" s="2" t="n">
        <f aca="false">COUNTIF('Harvest Records'!B:B,A9)</f>
        <v>2</v>
      </c>
      <c r="C9" s="2" t="n">
        <f aca="false">SUMIF('Harvest Records'!B:B,A9,'Harvest Records'!G:G)</f>
        <v>144</v>
      </c>
      <c r="D9" s="2" t="s">
        <v>12</v>
      </c>
      <c r="E9" s="5" t="n">
        <f aca="false">IFERROR(SUMIF('Harvest Records'!B:B,A9,'Harvest Records'!J:J)/C9,0)</f>
        <v>397.969652777778</v>
      </c>
      <c r="F9" s="5" t="n">
        <f aca="false">SUMIF('Harvest Records'!B:B,A9,'Harvest Records'!J:J)</f>
        <v>57307.63</v>
      </c>
    </row>
    <row r="10" customFormat="false" ht="15" hidden="false" customHeight="false" outlineLevel="0" collapsed="false">
      <c r="A10" s="3" t="s">
        <v>29</v>
      </c>
      <c r="B10" s="2" t="n">
        <f aca="false">COUNTIF('Harvest Records'!B:B,A10)</f>
        <v>2</v>
      </c>
      <c r="C10" s="2" t="n">
        <f aca="false">SUMIF('Harvest Records'!B:B,A10,'Harvest Records'!G:G)</f>
        <v>359</v>
      </c>
      <c r="D10" s="2" t="s">
        <v>12</v>
      </c>
      <c r="E10" s="5" t="n">
        <f aca="false">IFERROR(SUMIF('Harvest Records'!B:B,A10,'Harvest Records'!J:J)/C10,0)</f>
        <v>106.486657381616</v>
      </c>
      <c r="F10" s="5" t="n">
        <f aca="false">SUMIF('Harvest Records'!B:B,A10,'Harvest Records'!J:J)</f>
        <v>38228.71</v>
      </c>
    </row>
    <row r="11" customFormat="false" ht="15" hidden="false" customHeight="false" outlineLevel="0" collapsed="false">
      <c r="A11" s="3" t="s">
        <v>31</v>
      </c>
      <c r="B11" s="2" t="n">
        <f aca="false">COUNTIF('Harvest Records'!B:B,A11)</f>
        <v>2</v>
      </c>
      <c r="C11" s="2" t="n">
        <f aca="false">SUMIF('Harvest Records'!B:B,A11,'Harvest Records'!G:G)</f>
        <v>290</v>
      </c>
      <c r="D11" s="2" t="s">
        <v>12</v>
      </c>
      <c r="E11" s="5" t="n">
        <f aca="false">IFERROR(SUMIF('Harvest Records'!B:B,A11,'Harvest Records'!J:J)/C11,0)</f>
        <v>224.232310344828</v>
      </c>
      <c r="F11" s="5" t="n">
        <f aca="false">SUMIF('Harvest Records'!B:B,A11,'Harvest Records'!J:J)</f>
        <v>65027.37</v>
      </c>
    </row>
    <row r="12" customFormat="false" ht="15" hidden="false" customHeight="false" outlineLevel="0" collapsed="false">
      <c r="A12" s="3" t="s">
        <v>33</v>
      </c>
      <c r="B12" s="2" t="n">
        <f aca="false">COUNTIF('Harvest Records'!B:B,A12)</f>
        <v>2</v>
      </c>
      <c r="C12" s="2" t="n">
        <f aca="false">SUMIF('Harvest Records'!B:B,A12,'Harvest Records'!G:G)</f>
        <v>451</v>
      </c>
      <c r="D12" s="2" t="s">
        <v>35</v>
      </c>
      <c r="E12" s="5" t="n">
        <f aca="false">IFERROR(SUMIF('Harvest Records'!B:B,A12,'Harvest Records'!J:J)/C12,0)</f>
        <v>101.803170731707</v>
      </c>
      <c r="F12" s="5" t="n">
        <f aca="false">SUMIF('Harvest Records'!B:B,A12,'Harvest Records'!J:J)</f>
        <v>45913.23</v>
      </c>
    </row>
    <row r="13" customFormat="false" ht="15" hidden="false" customHeight="false" outlineLevel="0" collapsed="false">
      <c r="A13" s="3" t="s">
        <v>36</v>
      </c>
      <c r="B13" s="2" t="n">
        <f aca="false">COUNTIF('Harvest Records'!B:B,A13)</f>
        <v>2</v>
      </c>
      <c r="C13" s="2" t="n">
        <f aca="false">SUMIF('Harvest Records'!B:B,A13,'Harvest Records'!G:G)</f>
        <v>127</v>
      </c>
      <c r="D13" s="2" t="s">
        <v>12</v>
      </c>
      <c r="E13" s="5" t="n">
        <f aca="false">IFERROR(SUMIF('Harvest Records'!B:B,A13,'Harvest Records'!J:J)/C13,0)</f>
        <v>190.638267716535</v>
      </c>
      <c r="F13" s="5" t="n">
        <f aca="false">SUMIF('Harvest Records'!B:B,A13,'Harvest Records'!J:J)</f>
        <v>24211.06</v>
      </c>
    </row>
    <row r="14" customFormat="false" ht="15" hidden="false" customHeight="false" outlineLevel="0" collapsed="false">
      <c r="A14" s="10" t="s">
        <v>38</v>
      </c>
      <c r="C14" s="7" t="n">
        <f aca="false">SUM(C2:C13)</f>
        <v>4570</v>
      </c>
      <c r="F14" s="8" t="n">
        <f aca="false">SUM(F2:F13)</f>
        <v>634425.38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2026-08-20T03:54:46Z</dcterms:created>
  <dc:creator>openpyxl</dc:creator>
  <dc:description/>
  <dc:language>en-US</dc:language>
  <cp:lastModifiedBy/>
  <dcterms:modified xsi:type="dcterms:W3CDTF">2026-08-20T03:54:46Z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